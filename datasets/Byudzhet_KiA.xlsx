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F7F795C2-8A6A-4EF3-A8F6-F1AE413005B0}" xr6:coauthVersionLast="47" xr6:coauthVersionMax="47" xr10:uidLastSave="{00000000-0000-0000-0000-000000000000}"/>
  <bookViews>
    <workbookView xWindow="-120" yWindow="330" windowWidth="38640" windowHeight="21390" activeTab="4" xr2:uid="{00000000-000D-0000-FFFF-FFFF00000000}"/>
  </bookViews>
  <sheets>
    <sheet name="2026" sheetId="8" r:id="rId1"/>
    <sheet name="2025" sheetId="7" r:id="rId2"/>
    <sheet name="2024" sheetId="5" r:id="rId3"/>
    <sheet name="План КиА" sheetId="9" r:id="rId4"/>
    <sheet name="Распределение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0" l="1"/>
  <c r="I7" i="10"/>
  <c r="E9" i="10"/>
  <c r="G9" i="10" s="1"/>
  <c r="E43" i="8"/>
  <c r="E45" i="8"/>
  <c r="E44" i="8"/>
  <c r="D44" i="8"/>
  <c r="D43" i="8"/>
  <c r="D42" i="8"/>
  <c r="F36" i="8"/>
  <c r="F38" i="8"/>
  <c r="E13" i="8"/>
  <c r="E35" i="8"/>
  <c r="E37" i="8"/>
  <c r="E32" i="8"/>
  <c r="F32" i="8"/>
  <c r="G32" i="8"/>
  <c r="E31" i="8"/>
  <c r="E29" i="8"/>
  <c r="E24" i="8"/>
  <c r="E15" i="8"/>
  <c r="E4" i="8"/>
  <c r="E18" i="8"/>
  <c r="E16" i="8"/>
  <c r="E22" i="8"/>
  <c r="E20" i="8"/>
  <c r="E14" i="8"/>
  <c r="E3" i="8"/>
  <c r="E12" i="8"/>
  <c r="E11" i="8"/>
  <c r="E23" i="8"/>
  <c r="E9" i="8"/>
  <c r="E6" i="8"/>
  <c r="D23" i="8"/>
  <c r="D13" i="8"/>
  <c r="D15" i="8"/>
  <c r="D5" i="8"/>
  <c r="D3" i="8"/>
  <c r="D6" i="8"/>
  <c r="D36" i="8"/>
  <c r="D37" i="8"/>
  <c r="D35" i="8"/>
  <c r="D32" i="8"/>
  <c r="D31" i="8"/>
  <c r="D29" i="8"/>
  <c r="D24" i="8"/>
  <c r="D20" i="8"/>
  <c r="D22" i="8"/>
  <c r="D18" i="8"/>
  <c r="D17" i="8"/>
  <c r="D16" i="8"/>
  <c r="D4" i="8"/>
  <c r="D14" i="8"/>
  <c r="D12" i="8"/>
  <c r="D11" i="8"/>
  <c r="C3" i="8" l="1"/>
  <c r="C15" i="8"/>
  <c r="C5" i="8"/>
  <c r="C14" i="8"/>
  <c r="C6" i="8"/>
  <c r="C32" i="8"/>
  <c r="C31" i="8"/>
  <c r="C35" i="8"/>
  <c r="C37" i="8"/>
  <c r="N30" i="7"/>
  <c r="C21" i="8"/>
  <c r="C4" i="8"/>
  <c r="C13" i="8"/>
  <c r="C16" i="8"/>
  <c r="C17" i="8"/>
  <c r="C12" i="8"/>
  <c r="C20" i="8"/>
  <c r="C24" i="8" l="1"/>
  <c r="N38" i="7"/>
  <c r="N37" i="7"/>
  <c r="N35" i="7"/>
  <c r="N34" i="7"/>
  <c r="M35" i="7" l="1"/>
  <c r="M37" i="7"/>
  <c r="M34" i="7"/>
  <c r="M33" i="7"/>
  <c r="M17" i="7"/>
  <c r="M19" i="7"/>
  <c r="M15" i="7"/>
  <c r="M7" i="7"/>
  <c r="M6" i="7"/>
  <c r="M4" i="7"/>
  <c r="O3" i="8" l="1"/>
  <c r="O4" i="8"/>
  <c r="O6" i="8"/>
  <c r="O9" i="8"/>
  <c r="O10" i="8"/>
  <c r="O11" i="8"/>
  <c r="O12" i="8"/>
  <c r="O13" i="8"/>
  <c r="O14" i="8"/>
  <c r="O15" i="8"/>
  <c r="O17" i="8"/>
  <c r="O19" i="8"/>
  <c r="O20" i="8"/>
  <c r="O22" i="8"/>
  <c r="N39" i="8"/>
  <c r="M39" i="8"/>
  <c r="O32" i="8"/>
  <c r="N32" i="8"/>
  <c r="M32" i="8"/>
  <c r="L32" i="8"/>
  <c r="J32" i="8"/>
  <c r="I32" i="8"/>
  <c r="H32" i="8"/>
  <c r="K32" i="8"/>
  <c r="N24" i="8"/>
  <c r="M24" i="8"/>
  <c r="K24" i="8"/>
  <c r="G24" i="8"/>
  <c r="J24" i="8"/>
  <c r="I24" i="8"/>
  <c r="L24" i="8"/>
  <c r="H24" i="8"/>
  <c r="F24" i="8"/>
  <c r="O2" i="8"/>
  <c r="G39" i="8" l="1"/>
  <c r="E39" i="8"/>
  <c r="F39" i="8"/>
  <c r="J39" i="8"/>
  <c r="O35" i="8"/>
  <c r="O34" i="8"/>
  <c r="O36" i="8"/>
  <c r="K39" i="8"/>
  <c r="I39" i="8"/>
  <c r="D39" i="8"/>
  <c r="H39" i="8"/>
  <c r="L39" i="8"/>
  <c r="C39" i="8"/>
  <c r="O24" i="8"/>
  <c r="L37" i="7"/>
  <c r="L34" i="7"/>
  <c r="L35" i="7"/>
  <c r="L33" i="7"/>
  <c r="L17" i="7"/>
  <c r="L18" i="7"/>
  <c r="L15" i="7"/>
  <c r="L12" i="7"/>
  <c r="L7" i="7"/>
  <c r="L6" i="7"/>
  <c r="L10" i="7"/>
  <c r="L4" i="7"/>
  <c r="L20" i="7"/>
  <c r="L8" i="7"/>
  <c r="L3" i="7"/>
  <c r="O39" i="8" l="1"/>
  <c r="K30" i="7"/>
  <c r="K33" i="7"/>
  <c r="K38" i="7"/>
  <c r="K17" i="7"/>
  <c r="K37" i="7"/>
  <c r="K34" i="7"/>
  <c r="K35" i="7"/>
  <c r="K26" i="7"/>
  <c r="K29" i="7"/>
  <c r="K18" i="7"/>
  <c r="K20" i="7"/>
  <c r="K19" i="7"/>
  <c r="K15" i="7"/>
  <c r="K13" i="7"/>
  <c r="K16" i="7"/>
  <c r="K6" i="7"/>
  <c r="K11" i="7"/>
  <c r="K7" i="7"/>
  <c r="K4" i="7"/>
  <c r="J30" i="7" l="1"/>
  <c r="J39" i="7"/>
  <c r="J37" i="7"/>
  <c r="O37" i="7" s="1"/>
  <c r="J35" i="7"/>
  <c r="J34" i="7"/>
  <c r="J38" i="7"/>
  <c r="J33" i="7"/>
  <c r="J15" i="7"/>
  <c r="J18" i="7"/>
  <c r="J20" i="7"/>
  <c r="J19" i="7"/>
  <c r="J6" i="7"/>
  <c r="J14" i="7"/>
  <c r="J13" i="7"/>
  <c r="J8" i="7"/>
  <c r="J7" i="7"/>
  <c r="J4" i="7"/>
  <c r="I39" i="7" l="1"/>
  <c r="I38" i="7"/>
  <c r="I35" i="7"/>
  <c r="I34" i="7"/>
  <c r="I33" i="7"/>
  <c r="I18" i="7"/>
  <c r="J21" i="7"/>
  <c r="K21" i="7"/>
  <c r="L21" i="7"/>
  <c r="M21" i="7"/>
  <c r="N21" i="7"/>
  <c r="I20" i="7"/>
  <c r="I14" i="7"/>
  <c r="I17" i="7"/>
  <c r="I19" i="7"/>
  <c r="I16" i="7"/>
  <c r="I15" i="7"/>
  <c r="I7" i="7"/>
  <c r="I13" i="7"/>
  <c r="I12" i="7"/>
  <c r="I6" i="7"/>
  <c r="I4" i="7"/>
  <c r="I21" i="7" l="1"/>
  <c r="H36" i="7"/>
  <c r="H35" i="7"/>
  <c r="H34" i="7"/>
  <c r="H33" i="7"/>
  <c r="H17" i="7"/>
  <c r="H13" i="7"/>
  <c r="H19" i="7"/>
  <c r="H15" i="7"/>
  <c r="H14" i="7"/>
  <c r="H11" i="7"/>
  <c r="H8" i="7"/>
  <c r="H7" i="7"/>
  <c r="H6" i="7"/>
  <c r="H3" i="7"/>
  <c r="H21" i="7" s="1"/>
  <c r="G40" i="7" l="1"/>
  <c r="G36" i="7"/>
  <c r="G35" i="7"/>
  <c r="G34" i="7"/>
  <c r="G38" i="7"/>
  <c r="G33" i="7"/>
  <c r="G17" i="7"/>
  <c r="G19" i="7"/>
  <c r="G18" i="7"/>
  <c r="G16" i="7"/>
  <c r="G15" i="7"/>
  <c r="G11" i="7"/>
  <c r="G9" i="7"/>
  <c r="G8" i="7"/>
  <c r="G7" i="7"/>
  <c r="G6" i="7"/>
  <c r="G4" i="7"/>
  <c r="H41" i="7"/>
  <c r="I41" i="7"/>
  <c r="J41" i="7"/>
  <c r="K41" i="7"/>
  <c r="L41" i="7"/>
  <c r="M41" i="7"/>
  <c r="N41" i="7"/>
  <c r="C46" i="7"/>
  <c r="F36" i="7"/>
  <c r="F35" i="7"/>
  <c r="F34" i="7"/>
  <c r="F40" i="7"/>
  <c r="F33" i="7"/>
  <c r="F41" i="7" s="1"/>
  <c r="F17" i="7"/>
  <c r="F18" i="7"/>
  <c r="F19" i="7"/>
  <c r="F15" i="7"/>
  <c r="F14" i="7"/>
  <c r="F13" i="7"/>
  <c r="F8" i="7"/>
  <c r="F7" i="7"/>
  <c r="F6" i="7"/>
  <c r="F4" i="7"/>
  <c r="F3" i="7"/>
  <c r="F43" i="7" l="1"/>
  <c r="M43" i="7"/>
  <c r="M44" i="7"/>
  <c r="I44" i="7"/>
  <c r="I43" i="7"/>
  <c r="F21" i="7"/>
  <c r="F44" i="7" s="1"/>
  <c r="H44" i="7"/>
  <c r="H43" i="7"/>
  <c r="N44" i="7"/>
  <c r="N43" i="7"/>
  <c r="L43" i="7"/>
  <c r="L44" i="7"/>
  <c r="K43" i="7"/>
  <c r="K44" i="7"/>
  <c r="J43" i="7"/>
  <c r="J44" i="7"/>
  <c r="G41" i="7"/>
  <c r="G21" i="7"/>
  <c r="F48" i="7"/>
  <c r="F46" i="7"/>
  <c r="F47" i="7"/>
  <c r="E26" i="7"/>
  <c r="E38" i="7"/>
  <c r="E33" i="7"/>
  <c r="E40" i="7"/>
  <c r="E39" i="7"/>
  <c r="E36" i="7"/>
  <c r="E35" i="7"/>
  <c r="E34" i="7"/>
  <c r="E17" i="7"/>
  <c r="E15" i="7"/>
  <c r="E18" i="7"/>
  <c r="E19" i="7"/>
  <c r="E6" i="7"/>
  <c r="E7" i="7"/>
  <c r="G44" i="7" l="1"/>
  <c r="G43" i="7"/>
  <c r="E41" i="7"/>
  <c r="H46" i="7"/>
  <c r="H47" i="7"/>
  <c r="H48" i="7"/>
  <c r="E21" i="7"/>
  <c r="D36" i="7"/>
  <c r="D35" i="7"/>
  <c r="D34" i="7"/>
  <c r="D40" i="7"/>
  <c r="D26" i="7"/>
  <c r="D33" i="7"/>
  <c r="D18" i="7"/>
  <c r="D17" i="7"/>
  <c r="D15" i="7"/>
  <c r="D7" i="7"/>
  <c r="D6" i="7"/>
  <c r="D41" i="7" l="1"/>
  <c r="G46" i="7"/>
  <c r="G48" i="7"/>
  <c r="G47" i="7"/>
  <c r="E44" i="7"/>
  <c r="E43" i="7"/>
  <c r="D21" i="7"/>
  <c r="C40" i="7"/>
  <c r="C26" i="7"/>
  <c r="C39" i="7"/>
  <c r="C33" i="7"/>
  <c r="C17" i="7"/>
  <c r="C15" i="7"/>
  <c r="C18" i="7"/>
  <c r="C14" i="7"/>
  <c r="C13" i="7"/>
  <c r="C12" i="7"/>
  <c r="C8" i="7"/>
  <c r="C7" i="7"/>
  <c r="C6" i="7"/>
  <c r="E47" i="7" l="1"/>
  <c r="E46" i="7"/>
  <c r="E48" i="7"/>
  <c r="D43" i="7"/>
  <c r="D44" i="7"/>
  <c r="O16" i="7"/>
  <c r="P16" i="7" s="1"/>
  <c r="O17" i="7"/>
  <c r="P17" i="7" s="1"/>
  <c r="O18" i="7"/>
  <c r="N31" i="7"/>
  <c r="O31" i="7"/>
  <c r="J39" i="5"/>
  <c r="I39" i="5"/>
  <c r="N16" i="5"/>
  <c r="N12" i="5"/>
  <c r="N11" i="5"/>
  <c r="N5" i="5"/>
  <c r="N14" i="5"/>
  <c r="N27" i="5"/>
  <c r="C41" i="7"/>
  <c r="O40" i="7"/>
  <c r="O38" i="7"/>
  <c r="O36" i="7"/>
  <c r="O35" i="7"/>
  <c r="O33" i="7"/>
  <c r="M31" i="7"/>
  <c r="L31" i="7"/>
  <c r="K31" i="7"/>
  <c r="J31" i="7"/>
  <c r="I31" i="7"/>
  <c r="H31" i="7"/>
  <c r="G31" i="7"/>
  <c r="F31" i="7"/>
  <c r="E31" i="7"/>
  <c r="D31" i="7"/>
  <c r="C31" i="7"/>
  <c r="C21" i="7"/>
  <c r="O15" i="7"/>
  <c r="P15" i="7" s="1"/>
  <c r="O14" i="7"/>
  <c r="P14" i="7" s="1"/>
  <c r="O13" i="7"/>
  <c r="P13" i="7" s="1"/>
  <c r="O12" i="7"/>
  <c r="P12" i="7" s="1"/>
  <c r="O11" i="7"/>
  <c r="O10" i="7"/>
  <c r="O9" i="7"/>
  <c r="P9" i="7" s="1"/>
  <c r="O8" i="7"/>
  <c r="P8" i="7" s="1"/>
  <c r="O7" i="7"/>
  <c r="P7" i="7" s="1"/>
  <c r="O6" i="7"/>
  <c r="P6" i="7" s="1"/>
  <c r="O4" i="7"/>
  <c r="O2" i="7"/>
  <c r="D47" i="7" l="1"/>
  <c r="D48" i="7"/>
  <c r="D46" i="7"/>
  <c r="O34" i="7"/>
  <c r="O3" i="7"/>
  <c r="H39" i="5"/>
  <c r="G39" i="5"/>
  <c r="O21" i="7" l="1"/>
  <c r="P3" i="7"/>
  <c r="O41" i="7"/>
  <c r="N33" i="5"/>
  <c r="N32" i="5"/>
  <c r="N31" i="5"/>
  <c r="N30" i="5"/>
  <c r="N29" i="5"/>
  <c r="N39" i="5" s="1"/>
  <c r="M34" i="5" l="1"/>
  <c r="M33" i="5"/>
  <c r="M32" i="5"/>
  <c r="M31" i="5"/>
  <c r="M30" i="5"/>
  <c r="M27" i="5"/>
  <c r="M35" i="5"/>
  <c r="M16" i="5"/>
  <c r="M15" i="5"/>
  <c r="M14" i="5"/>
  <c r="M13" i="5"/>
  <c r="M10" i="5"/>
  <c r="M12" i="5"/>
  <c r="M7" i="5"/>
  <c r="M6" i="5"/>
  <c r="M5" i="5"/>
  <c r="M3" i="5"/>
  <c r="M17" i="5" s="1"/>
  <c r="M29" i="5"/>
  <c r="M39" i="5" l="1"/>
  <c r="L21" i="5"/>
  <c r="L33" i="5"/>
  <c r="K30" i="5"/>
  <c r="K39" i="5" s="1"/>
  <c r="L29" i="5" l="1"/>
  <c r="L16" i="5"/>
  <c r="L9" i="5"/>
  <c r="L32" i="5"/>
  <c r="L31" i="5"/>
  <c r="L30" i="5"/>
  <c r="L27" i="5"/>
  <c r="L14" i="5"/>
  <c r="L12" i="5"/>
  <c r="L10" i="5"/>
  <c r="L5" i="5"/>
  <c r="L6" i="5"/>
  <c r="L39" i="5" l="1"/>
  <c r="O39" i="5" s="1"/>
  <c r="O40" i="5" s="1"/>
  <c r="O41" i="5" s="1"/>
  <c r="O42" i="5" s="1"/>
  <c r="L43" i="5"/>
  <c r="L44" i="5" s="1"/>
  <c r="L45" i="5" s="1"/>
  <c r="G14" i="5"/>
  <c r="H16" i="5"/>
  <c r="I16" i="5"/>
  <c r="I15" i="5"/>
  <c r="J15" i="5"/>
  <c r="J6" i="5"/>
  <c r="K16" i="5"/>
  <c r="K12" i="5"/>
  <c r="K6" i="5"/>
  <c r="J16" i="5"/>
  <c r="J14" i="5"/>
  <c r="J11" i="5"/>
  <c r="J5" i="5"/>
  <c r="I14" i="5"/>
  <c r="I11" i="5"/>
  <c r="I6" i="5"/>
  <c r="I5" i="5"/>
  <c r="H14" i="5"/>
  <c r="H11" i="5"/>
  <c r="H6" i="5"/>
  <c r="H5" i="5"/>
  <c r="G16" i="5"/>
  <c r="G6" i="5"/>
  <c r="G5" i="5"/>
  <c r="G13" i="5"/>
  <c r="O4" i="5"/>
  <c r="O2" i="5"/>
  <c r="O30" i="5"/>
  <c r="O31" i="5"/>
  <c r="O32" i="5"/>
  <c r="O33" i="5"/>
  <c r="O35" i="5"/>
  <c r="O15" i="5" l="1"/>
  <c r="O6" i="5"/>
  <c r="O29" i="5"/>
  <c r="K27" i="5"/>
  <c r="J27" i="5" l="1"/>
  <c r="G36" i="5" l="1"/>
  <c r="H36" i="5"/>
  <c r="I36" i="5"/>
  <c r="J36" i="5"/>
  <c r="K36" i="5"/>
  <c r="L36" i="5"/>
  <c r="M36" i="5"/>
  <c r="M37" i="5" s="1"/>
  <c r="N36" i="5"/>
  <c r="G27" i="5"/>
  <c r="H27" i="5"/>
  <c r="I27" i="5"/>
  <c r="D36" i="5" l="1"/>
  <c r="F36" i="5"/>
  <c r="F27" i="5"/>
  <c r="C36" i="5" l="1"/>
  <c r="E36" i="5"/>
  <c r="E27" i="5"/>
  <c r="F17" i="5"/>
  <c r="G17" i="5"/>
  <c r="H17" i="5"/>
  <c r="I17" i="5"/>
  <c r="J17" i="5"/>
  <c r="K17" i="5"/>
  <c r="L17" i="5"/>
  <c r="L37" i="5" s="1"/>
  <c r="L38" i="5" s="1"/>
  <c r="N17" i="5"/>
  <c r="N37" i="5" s="1"/>
  <c r="E17" i="5" l="1"/>
  <c r="D27" i="5" l="1"/>
  <c r="C27" i="5" l="1"/>
  <c r="P27" i="5" l="1"/>
  <c r="O27" i="5"/>
  <c r="O16" i="5"/>
  <c r="O14" i="5"/>
  <c r="O13" i="5"/>
  <c r="O12" i="5"/>
  <c r="O11" i="5"/>
  <c r="O10" i="5"/>
  <c r="O9" i="5"/>
  <c r="O8" i="5"/>
  <c r="O7" i="5"/>
  <c r="O5" i="5"/>
  <c r="D17" i="5"/>
  <c r="C17" i="5"/>
  <c r="O36" i="5" l="1"/>
  <c r="O37" i="5" s="1"/>
  <c r="O3" i="5"/>
  <c r="O1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7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участок</t>
        </r>
      </text>
    </comment>
    <comment ref="C39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аренды и продажа пианино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4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кешбэк</t>
        </r>
      </text>
    </comment>
  </commentList>
</comments>
</file>

<file path=xl/sharedStrings.xml><?xml version="1.0" encoding="utf-8"?>
<sst xmlns="http://schemas.openxmlformats.org/spreadsheetml/2006/main" count="193" uniqueCount="97">
  <si>
    <t>Аренда</t>
  </si>
  <si>
    <t>Январь</t>
  </si>
  <si>
    <t>Февр</t>
  </si>
  <si>
    <t>Март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</si>
  <si>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</si>
  <si>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</si>
  <si>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</si>
  <si>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</si>
  <si>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</si>
  <si>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</si>
  <si>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</si>
  <si>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</si>
  <si>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</si>
  <si>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Путешествия, поездки, билеты</t>
  </si>
  <si>
    <t>Сумма расходы</t>
  </si>
  <si>
    <t>Коммуналка</t>
  </si>
  <si>
    <t>Подарки</t>
  </si>
  <si>
    <t>Телефон и интернет</t>
  </si>
  <si>
    <t>Наличка, руб</t>
  </si>
  <si>
    <t>Доход</t>
  </si>
  <si>
    <t>Тотал</t>
  </si>
  <si>
    <t>Разное</t>
  </si>
  <si>
    <t>Тотал, руб</t>
  </si>
  <si>
    <t>Остаток на счете</t>
  </si>
  <si>
    <t>Сбер</t>
  </si>
  <si>
    <t>-</t>
  </si>
  <si>
    <t>Год</t>
  </si>
  <si>
    <t>Супермаркеты (продукты,алко,мелкая гигена и БХ)</t>
  </si>
  <si>
    <t>Еда на работе</t>
  </si>
  <si>
    <t>Проценты по вкладам</t>
  </si>
  <si>
    <t>Одежда и обувь, аксессуары</t>
  </si>
  <si>
    <t>Ипотека</t>
  </si>
  <si>
    <t>Машина</t>
  </si>
  <si>
    <t>ВТБ</t>
  </si>
  <si>
    <t>Родителям</t>
  </si>
  <si>
    <t>Развлечения (концерты, театры, клубы, кафе-рестораны, термы и тп)</t>
  </si>
  <si>
    <t>Накопительный ДОМ.РФ</t>
  </si>
  <si>
    <t>Накопительный ВТБ</t>
  </si>
  <si>
    <t>Инвестиции</t>
  </si>
  <si>
    <t>Зп Омнитех</t>
  </si>
  <si>
    <t>Зп Бауман</t>
  </si>
  <si>
    <t>Зп МАИ</t>
  </si>
  <si>
    <t>Зп Физтех</t>
  </si>
  <si>
    <t>Другие подработки</t>
  </si>
  <si>
    <t>1488</t>
  </si>
  <si>
    <t>Прочий доход</t>
  </si>
  <si>
    <t>Наличка, доллары</t>
  </si>
  <si>
    <t>Спорт</t>
  </si>
  <si>
    <t>Накопительный ДОМ.РФ-1</t>
  </si>
  <si>
    <t>Расходы на подработки</t>
  </si>
  <si>
    <t>Дом, уют, ремонт и тп</t>
  </si>
  <si>
    <t>Накопительный ДОМ.РФ-1 -сбер</t>
  </si>
  <si>
    <t>ИИС-3</t>
  </si>
  <si>
    <t>Личные</t>
  </si>
  <si>
    <t>МГТУ</t>
  </si>
  <si>
    <t>МАИ</t>
  </si>
  <si>
    <t>МФТИ</t>
  </si>
  <si>
    <t>ДМИТРИЙ</t>
  </si>
  <si>
    <t>АРЕНДА</t>
  </si>
  <si>
    <t>ОМНИТЕХ</t>
  </si>
  <si>
    <t>Здоровье, аптеки</t>
  </si>
  <si>
    <t>НИ ЦЭВТ</t>
  </si>
  <si>
    <t>досрок</t>
  </si>
  <si>
    <t>Дмитрий</t>
  </si>
  <si>
    <t>Ипотека Буракова</t>
  </si>
  <si>
    <t>Развлечения (концерты, театры, клубы, термы и тп)</t>
  </si>
  <si>
    <t>Гос платежи</t>
  </si>
  <si>
    <t>Машина и мото</t>
  </si>
  <si>
    <t>Такси,каршер,самокат</t>
  </si>
  <si>
    <t xml:space="preserve">Кафе и рестораны </t>
  </si>
  <si>
    <t>Еда наработе Косуля</t>
  </si>
  <si>
    <t>Еда наработе Антилопа</t>
  </si>
  <si>
    <t>Телефон и интернет, ВПН, подписки</t>
  </si>
  <si>
    <t>Спорт и танцы</t>
  </si>
  <si>
    <t>Косметика</t>
  </si>
  <si>
    <t>Красота</t>
  </si>
  <si>
    <t>Общественный транспорт</t>
  </si>
  <si>
    <t>Крупные покупки</t>
  </si>
  <si>
    <t>5го числа каждого месяца</t>
  </si>
  <si>
    <t>1. Оплачиваем ипотеку и излишек переводи в копилку(общий фонд под распеределение)</t>
  </si>
  <si>
    <t>2.Пополняем общий счет на расходы КиА - 200к</t>
  </si>
  <si>
    <t>3.Проверяем/пополняем счет хотелок - 200к</t>
  </si>
  <si>
    <t>5. Распределяем копилку на ипотеку и ИИС</t>
  </si>
  <si>
    <t>Накопительный ВТБ -хотелки</t>
  </si>
  <si>
    <t>Накопительный свадьба</t>
  </si>
  <si>
    <t>Зп Сбер</t>
  </si>
  <si>
    <t>4. Все оставшиеся финансы переводим в одну копилку - счет косули в сбере</t>
  </si>
  <si>
    <t>Сбер Антилопа</t>
  </si>
  <si>
    <t>Сбер Косуля</t>
  </si>
  <si>
    <t>оплата ипотеки</t>
  </si>
  <si>
    <t>основной счет: расходы на месяц+хотелки(на отдельном счете)</t>
  </si>
  <si>
    <t>ВТБ Косуля основной</t>
  </si>
  <si>
    <t>ВТБ вклад Косуля хотелки</t>
  </si>
  <si>
    <t>ПСБ</t>
  </si>
  <si>
    <t>Вклад дом рф</t>
  </si>
  <si>
    <t>ИИС Антилопы</t>
  </si>
  <si>
    <t>На хотелки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</si>
</sst>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6100"/>
      <name val="Calibri"/>
      <family val="2"/>
      <charset val="204"/>
      <scheme val="minor"/>
    </font>
    <font>
      <sz val="7"/>
      <color rgb="FF291E25"/>
      <name val="CormorantInfant-Light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gray0625">
        <bgColor theme="4" tint="0.7999511703848384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9" borderId="0" applyNumberFormat="0" applyBorder="0" applyAlignment="0" applyProtection="0"/>
  </cellStyleXfs>
  <cellXfs count="111">
    <xf numFmtId="0" fontId="0" fillId="0" borderId="0" xfId="0"/>
    <xf numFmtId="0" fontId="0" fillId="2" borderId="0" xfId="0" applyFill="1"/>
    <xf numFmtId="0" fontId="1" fillId="4" borderId="0" xfId="0" applyFont="1" applyFill="1"/>
    <xf numFmtId="3" fontId="1" fillId="4" borderId="0" xfId="0" applyNumberFormat="1" applyFont="1" applyFill="1" applyAlignment="1">
      <alignment horizontal="center"/>
    </xf>
    <xf numFmtId="0" fontId="2" fillId="2" borderId="0" xfId="0" applyFont="1" applyFill="1"/>
    <xf numFmtId="0" fontId="2" fillId="0" borderId="0" xfId="0" applyFont="1" applyFill="1"/>
    <xf numFmtId="0" fontId="3" fillId="3" borderId="0" xfId="0" applyFont="1" applyFill="1"/>
    <xf numFmtId="0" fontId="0" fillId="3" borderId="0" xfId="0" applyFill="1"/>
    <xf numFmtId="3" fontId="0" fillId="3" borderId="0" xfId="0" applyNumberFormat="1" applyFill="1" applyAlignment="1">
      <alignment horizontal="center"/>
    </xf>
    <xf numFmtId="0" fontId="0" fillId="5" borderId="0" xfId="0" applyFill="1"/>
    <xf numFmtId="0" fontId="0" fillId="0" borderId="0" xfId="0" applyFill="1"/>
    <xf numFmtId="3" fontId="0" fillId="0" borderId="0" xfId="0" applyNumberFormat="1"/>
    <xf numFmtId="0" fontId="5" fillId="0" borderId="0" xfId="0" applyFont="1"/>
    <xf numFmtId="3" fontId="5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3" fontId="4" fillId="2" borderId="0" xfId="0" applyNumberFormat="1" applyFont="1" applyFill="1" applyAlignment="1">
      <alignment horizontal="center"/>
    </xf>
    <xf numFmtId="3" fontId="4" fillId="0" borderId="0" xfId="0" applyNumberFormat="1" applyFont="1" applyFill="1" applyAlignment="1">
      <alignment horizontal="center"/>
    </xf>
    <xf numFmtId="3" fontId="0" fillId="5" borderId="0" xfId="0" applyNumberFormat="1" applyFill="1"/>
    <xf numFmtId="0" fontId="4" fillId="0" borderId="0" xfId="0" applyFont="1"/>
    <xf numFmtId="0" fontId="4" fillId="2" borderId="0" xfId="0" applyFont="1" applyFill="1"/>
    <xf numFmtId="3" fontId="4" fillId="2" borderId="0" xfId="0" applyNumberFormat="1" applyFont="1" applyFill="1" applyAlignment="1">
      <alignment horizontal="center" vertical="center"/>
    </xf>
    <xf numFmtId="0" fontId="4" fillId="0" borderId="0" xfId="0" applyFont="1" applyFill="1"/>
    <xf numFmtId="3" fontId="4" fillId="0" borderId="0" xfId="0" applyNumberFormat="1" applyFont="1" applyFill="1" applyAlignment="1">
      <alignment horizontal="center" vertical="center"/>
    </xf>
    <xf numFmtId="3" fontId="4" fillId="2" borderId="0" xfId="0" applyNumberFormat="1" applyFont="1" applyFill="1"/>
    <xf numFmtId="3" fontId="4" fillId="0" borderId="0" xfId="0" applyNumberFormat="1" applyFont="1" applyFill="1"/>
    <xf numFmtId="3" fontId="1" fillId="4" borderId="0" xfId="0" applyNumberFormat="1" applyFont="1" applyFill="1"/>
    <xf numFmtId="3" fontId="0" fillId="3" borderId="0" xfId="0" applyNumberFormat="1" applyFill="1"/>
    <xf numFmtId="3" fontId="0" fillId="5" borderId="0" xfId="0" applyNumberFormat="1" applyFill="1" applyAlignment="1">
      <alignment horizontal="center"/>
    </xf>
    <xf numFmtId="3" fontId="0" fillId="0" borderId="0" xfId="0" applyNumberFormat="1" applyAlignment="1">
      <alignment horizontal="center"/>
    </xf>
    <xf numFmtId="3" fontId="5" fillId="0" borderId="0" xfId="0" applyNumberFormat="1" applyFont="1"/>
    <xf numFmtId="0" fontId="4" fillId="2" borderId="0" xfId="0" applyFont="1" applyFill="1" applyAlignment="1">
      <alignment vertical="center" wrapText="1"/>
    </xf>
    <xf numFmtId="0" fontId="3" fillId="6" borderId="0" xfId="0" applyFont="1" applyFill="1"/>
    <xf numFmtId="3" fontId="0" fillId="6" borderId="0" xfId="0" applyNumberFormat="1" applyFill="1" applyAlignment="1">
      <alignment horizontal="center"/>
    </xf>
    <xf numFmtId="3" fontId="0" fillId="6" borderId="0" xfId="0" applyNumberFormat="1" applyFill="1"/>
    <xf numFmtId="0" fontId="0" fillId="6" borderId="0" xfId="0" applyFill="1"/>
    <xf numFmtId="0" fontId="5" fillId="4" borderId="0" xfId="0" applyFont="1" applyFill="1"/>
    <xf numFmtId="0" fontId="6" fillId="0" borderId="0" xfId="0" applyFont="1"/>
    <xf numFmtId="3" fontId="6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Fill="1"/>
    <xf numFmtId="0" fontId="5" fillId="0" borderId="0" xfId="0" applyFont="1" applyFill="1"/>
    <xf numFmtId="0" fontId="4" fillId="0" borderId="0" xfId="0" applyFont="1" applyFill="1" applyAlignment="1">
      <alignment vertical="center" wrapText="1"/>
    </xf>
    <xf numFmtId="14" fontId="1" fillId="4" borderId="0" xfId="0" applyNumberFormat="1" applyFont="1" applyFill="1" applyAlignment="1">
      <alignment horizontal="center"/>
    </xf>
    <xf numFmtId="3" fontId="4" fillId="2" borderId="0" xfId="0" applyNumberFormat="1" applyFont="1" applyFill="1" applyAlignment="1">
      <alignment horizontal="center" vertical="center" wrapText="1"/>
    </xf>
    <xf numFmtId="3" fontId="4" fillId="2" borderId="0" xfId="0" applyNumberFormat="1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3" fontId="4" fillId="7" borderId="0" xfId="0" applyNumberFormat="1" applyFont="1" applyFill="1" applyAlignment="1">
      <alignment horizontal="center" vertical="center"/>
    </xf>
    <xf numFmtId="0" fontId="0" fillId="8" borderId="0" xfId="0" applyFill="1" applyAlignment="1">
      <alignment vertical="center"/>
    </xf>
    <xf numFmtId="3" fontId="0" fillId="8" borderId="0" xfId="0" applyNumberFormat="1" applyFill="1" applyAlignment="1">
      <alignment horizontal="center" vertical="center"/>
    </xf>
    <xf numFmtId="3" fontId="5" fillId="8" borderId="0" xfId="0" applyNumberFormat="1" applyFont="1" applyFill="1" applyAlignment="1">
      <alignment horizontal="center"/>
    </xf>
    <xf numFmtId="3" fontId="0" fillId="8" borderId="0" xfId="0" applyNumberFormat="1" applyFill="1" applyAlignment="1">
      <alignment vertical="center"/>
    </xf>
    <xf numFmtId="0" fontId="0" fillId="8" borderId="0" xfId="0" applyFill="1"/>
    <xf numFmtId="3" fontId="0" fillId="8" borderId="0" xfId="0" applyNumberFormat="1" applyFill="1" applyAlignment="1">
      <alignment horizontal="center"/>
    </xf>
    <xf numFmtId="49" fontId="0" fillId="8" borderId="0" xfId="0" applyNumberFormat="1" applyFill="1" applyAlignment="1">
      <alignment horizontal="center"/>
    </xf>
    <xf numFmtId="3" fontId="0" fillId="8" borderId="0" xfId="0" applyNumberFormat="1" applyFill="1"/>
    <xf numFmtId="3" fontId="0" fillId="0" borderId="0" xfId="0" applyNumberFormat="1" applyFill="1" applyAlignment="1">
      <alignment horizontal="center" vertical="center"/>
    </xf>
    <xf numFmtId="3" fontId="5" fillId="0" borderId="0" xfId="0" applyNumberFormat="1" applyFont="1" applyFill="1" applyAlignment="1">
      <alignment horizontal="center"/>
    </xf>
    <xf numFmtId="3" fontId="0" fillId="0" borderId="0" xfId="0" applyNumberFormat="1" applyFill="1" applyAlignment="1">
      <alignment horizontal="center"/>
    </xf>
    <xf numFmtId="3" fontId="0" fillId="0" borderId="0" xfId="0" applyNumberFormat="1" applyFill="1"/>
    <xf numFmtId="0" fontId="0" fillId="0" borderId="0" xfId="0" applyFill="1" applyAlignment="1">
      <alignment vertical="center"/>
    </xf>
    <xf numFmtId="3" fontId="0" fillId="0" borderId="0" xfId="0" applyNumberFormat="1" applyFill="1" applyAlignment="1">
      <alignment vertical="center"/>
    </xf>
    <xf numFmtId="3" fontId="9" fillId="9" borderId="0" xfId="1" applyNumberFormat="1" applyAlignment="1">
      <alignment horizontal="center" vertical="center"/>
    </xf>
    <xf numFmtId="3" fontId="9" fillId="9" borderId="0" xfId="1" applyNumberFormat="1" applyAlignment="1">
      <alignment horizontal="center" vertical="center" wrapText="1"/>
    </xf>
    <xf numFmtId="9" fontId="0" fillId="0" borderId="0" xfId="0" applyNumberFormat="1" applyAlignment="1">
      <alignment horizontal="center"/>
    </xf>
    <xf numFmtId="3" fontId="9" fillId="9" borderId="0" xfId="1" applyNumberFormat="1" applyAlignment="1">
      <alignment horizontal="center"/>
    </xf>
    <xf numFmtId="0" fontId="2" fillId="8" borderId="0" xfId="0" applyFont="1" applyFill="1"/>
    <xf numFmtId="0" fontId="4" fillId="8" borderId="1" xfId="0" applyFont="1" applyFill="1" applyBorder="1"/>
    <xf numFmtId="3" fontId="4" fillId="8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/>
    <xf numFmtId="3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3" fontId="4" fillId="0" borderId="1" xfId="0" applyNumberFormat="1" applyFont="1" applyBorder="1" applyAlignment="1">
      <alignment horizontal="center" vertical="center"/>
    </xf>
    <xf numFmtId="3" fontId="9" fillId="0" borderId="1" xfId="1" applyNumberFormat="1" applyFill="1" applyBorder="1" applyAlignment="1">
      <alignment horizontal="center" vertical="center"/>
    </xf>
    <xf numFmtId="3" fontId="9" fillId="8" borderId="1" xfId="1" applyNumberForma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3" fontId="4" fillId="8" borderId="1" xfId="0" applyNumberFormat="1" applyFont="1" applyFill="1" applyBorder="1" applyAlignment="1">
      <alignment horizontal="center"/>
    </xf>
    <xf numFmtId="3" fontId="4" fillId="0" borderId="1" xfId="0" applyNumberFormat="1" applyFont="1" applyFill="1" applyBorder="1" applyAlignment="1">
      <alignment horizontal="center"/>
    </xf>
    <xf numFmtId="0" fontId="3" fillId="0" borderId="1" xfId="0" applyFont="1" applyFill="1" applyBorder="1"/>
    <xf numFmtId="3" fontId="0" fillId="0" borderId="1" xfId="0" applyNumberFormat="1" applyFill="1" applyBorder="1" applyAlignment="1">
      <alignment horizontal="center"/>
    </xf>
    <xf numFmtId="0" fontId="3" fillId="6" borderId="1" xfId="0" applyFont="1" applyFill="1" applyBorder="1"/>
    <xf numFmtId="3" fontId="0" fillId="6" borderId="1" xfId="0" applyNumberFormat="1" applyFill="1" applyBorder="1" applyAlignment="1">
      <alignment horizontal="center"/>
    </xf>
    <xf numFmtId="0" fontId="0" fillId="5" borderId="1" xfId="0" applyFill="1" applyBorder="1"/>
    <xf numFmtId="3" fontId="0" fillId="5" borderId="1" xfId="0" applyNumberFormat="1" applyFill="1" applyBorder="1" applyAlignment="1">
      <alignment horizontal="center"/>
    </xf>
    <xf numFmtId="3" fontId="0" fillId="5" borderId="1" xfId="0" applyNumberFormat="1" applyFill="1" applyBorder="1"/>
    <xf numFmtId="0" fontId="0" fillId="0" borderId="1" xfId="0" applyFill="1" applyBorder="1"/>
    <xf numFmtId="3" fontId="0" fillId="0" borderId="1" xfId="0" applyNumberForma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1" fillId="8" borderId="1" xfId="0" applyFont="1" applyFill="1" applyBorder="1"/>
    <xf numFmtId="3" fontId="1" fillId="8" borderId="1" xfId="0" applyNumberFormat="1" applyFont="1" applyFill="1" applyBorder="1" applyAlignment="1">
      <alignment horizontal="center"/>
    </xf>
    <xf numFmtId="0" fontId="5" fillId="8" borderId="1" xfId="0" applyFont="1" applyFill="1" applyBorder="1"/>
    <xf numFmtId="14" fontId="1" fillId="8" borderId="1" xfId="0" applyNumberFormat="1" applyFont="1" applyFill="1" applyBorder="1" applyAlignment="1">
      <alignment horizontal="center"/>
    </xf>
    <xf numFmtId="3" fontId="6" fillId="0" borderId="0" xfId="0" applyNumberFormat="1" applyFont="1" applyFill="1" applyAlignment="1">
      <alignment horizontal="center" vertical="center"/>
    </xf>
    <xf numFmtId="3" fontId="1" fillId="0" borderId="0" xfId="0" applyNumberFormat="1" applyFont="1" applyFill="1"/>
    <xf numFmtId="3" fontId="5" fillId="0" borderId="0" xfId="0" applyNumberFormat="1" applyFont="1" applyFill="1"/>
    <xf numFmtId="0" fontId="4" fillId="8" borderId="1" xfId="0" applyFont="1" applyFill="1" applyBorder="1" applyAlignment="1">
      <alignment vertical="center" wrapText="1"/>
    </xf>
    <xf numFmtId="3" fontId="4" fillId="8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vertical="center" wrapText="1"/>
    </xf>
    <xf numFmtId="3" fontId="9" fillId="8" borderId="1" xfId="1" applyNumberForma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3" fontId="4" fillId="8" borderId="0" xfId="0" applyNumberFormat="1" applyFont="1" applyFill="1"/>
    <xf numFmtId="0" fontId="10" fillId="0" borderId="0" xfId="0" applyFont="1"/>
    <xf numFmtId="17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4" fontId="0" fillId="0" borderId="0" xfId="0" applyNumberFormat="1"/>
    <xf numFmtId="3" fontId="4" fillId="10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/>
    </xf>
    <xf numFmtId="14" fontId="3" fillId="8" borderId="1" xfId="0" applyNumberFormat="1" applyFont="1" applyFill="1" applyBorder="1" applyAlignment="1">
      <alignment horizontal="center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XFD45"/>
  <sheetViews>
    <sheetView zoomScale="115" zoomScaleNormal="115" workbookViewId="0">
      <pane xSplit="2" ySplit="1" topLeftCell="C15" activePane="bottomRight" state="frozen"/>
      <selection pane="topRight" activeCell="C1" sqref="C1"/>
      <selection pane="bottomLeft" activeCell="A2" sqref="A2"/>
      <selection pane="bottomRight" activeCell="F48" sqref="F48"/>
    </sheetView>
  </sheetViews>
  <sheetFormatPr defaultRowHeight="15" outlineLevelRow="1"/>
  <cols>
    <col min="1" max="1" width="8.7109375" style="10"/>
    <col min="2" max="2" width="47.42578125" customWidth="1"/>
    <col min="3" max="3" width="12" style="28" customWidth="1"/>
    <col min="4" max="4" width="11.5703125" style="28" customWidth="1"/>
    <col min="5" max="5" width="10.5703125" style="28" customWidth="1"/>
    <col min="6" max="6" width="11.85546875" style="28" customWidth="1"/>
    <col min="7" max="7" width="10.7109375" style="28" bestFit="1" customWidth="1"/>
    <col min="8" max="8" width="9.85546875" style="28" bestFit="1" customWidth="1"/>
    <col min="9" max="9" width="11" style="28" bestFit="1" customWidth="1"/>
    <col min="10" max="10" width="9.85546875" style="28" bestFit="1" customWidth="1"/>
    <col min="11" max="11" width="10.28515625" style="28" bestFit="1" customWidth="1"/>
    <col min="12" max="12" width="10.7109375" style="28" bestFit="1" customWidth="1"/>
    <col min="13" max="13" width="10.28515625" style="11" bestFit="1" customWidth="1"/>
    <col min="14" max="14" width="9.85546875" style="28" bestFit="1" customWidth="1"/>
    <col min="15" max="15" width="10.7109375" style="28" customWidth="1"/>
    <col min="16" max="20" width="8.7109375" style="58"/>
    <col min="21" max="24" width="8.7109375" style="10"/>
  </cols>
  <sheetData>
    <row r="1" spans="1:24" s="38" customFormat="1">
      <c r="A1" s="39"/>
      <c r="B1" s="36"/>
      <c r="C1" s="37" t="s">
        <v>1</v>
      </c>
      <c r="D1" s="37" t="s">
        <v>2</v>
      </c>
      <c r="E1" s="37" t="s">
        <v>3</v>
      </c>
      <c r="F1" s="37" t="s">
        <v>4</v>
      </c>
      <c r="G1" s="37" t="s">
        <v>5</v>
      </c>
      <c r="H1" s="37" t="s">
        <v>6</v>
      </c>
      <c r="I1" s="37" t="s">
        <v>7</v>
      </c>
      <c r="J1" s="37" t="s">
        <v>8</v>
      </c>
      <c r="K1" s="37" t="s">
        <v>9</v>
      </c>
      <c r="L1" s="37" t="s">
        <v>10</v>
      </c>
      <c r="M1" s="37" t="s">
        <v>11</v>
      </c>
      <c r="N1" s="37" t="s">
        <v>12</v>
      </c>
      <c r="O1" s="37" t="s">
        <v>26</v>
      </c>
      <c r="P1" s="93"/>
      <c r="Q1" s="93"/>
      <c r="R1" s="93"/>
      <c r="S1" s="93"/>
      <c r="T1" s="93"/>
      <c r="U1" s="39"/>
      <c r="V1" s="39"/>
      <c r="W1" s="39"/>
      <c r="X1" s="39"/>
    </row>
    <row r="2" spans="1:24" s="51" customFormat="1">
      <c r="A2" s="10"/>
      <c r="B2" s="66" t="s">
        <v>64</v>
      </c>
      <c r="C2" s="67">
        <v>127622</v>
      </c>
      <c r="D2" s="67">
        <v>127609</v>
      </c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67">
        <f>SUM(C2:N2)</f>
        <v>255231</v>
      </c>
      <c r="P2" s="22"/>
      <c r="Q2" s="22"/>
      <c r="R2" s="22"/>
      <c r="S2" s="22"/>
      <c r="T2" s="22"/>
      <c r="U2" s="10"/>
      <c r="V2" s="10"/>
      <c r="W2" s="10"/>
      <c r="X2" s="10"/>
    </row>
    <row r="3" spans="1:24" ht="15" customHeight="1">
      <c r="B3" s="70" t="s">
        <v>27</v>
      </c>
      <c r="C3" s="71">
        <f>44102+963</f>
        <v>45065</v>
      </c>
      <c r="D3" s="71">
        <f>40410-5335+1313</f>
        <v>36388</v>
      </c>
      <c r="E3" s="71">
        <f>38226+385</f>
        <v>38611</v>
      </c>
      <c r="F3" s="72"/>
      <c r="G3" s="71"/>
      <c r="H3" s="71"/>
      <c r="I3" s="71"/>
      <c r="J3" s="71"/>
      <c r="K3" s="71"/>
      <c r="L3" s="71"/>
      <c r="M3" s="71"/>
      <c r="N3" s="71"/>
      <c r="O3" s="67">
        <f t="shared" ref="O3:O22" si="0">SUM(C3:N3)</f>
        <v>120064</v>
      </c>
      <c r="P3" s="22"/>
      <c r="Q3" s="22"/>
      <c r="R3" s="22"/>
      <c r="S3" s="22"/>
      <c r="T3" s="22"/>
    </row>
    <row r="4" spans="1:24" s="51" customFormat="1" ht="15.6" customHeight="1">
      <c r="A4" s="10"/>
      <c r="B4" s="66" t="s">
        <v>67</v>
      </c>
      <c r="C4" s="67">
        <f>6914+2100+1785+3000</f>
        <v>13799</v>
      </c>
      <c r="D4" s="67">
        <f>9175+3246+300+3000</f>
        <v>15721</v>
      </c>
      <c r="E4" s="67">
        <f>13932+9954+6562+100+4000</f>
        <v>34548</v>
      </c>
      <c r="F4" s="73"/>
      <c r="G4" s="67"/>
      <c r="H4" s="67"/>
      <c r="I4" s="67"/>
      <c r="J4" s="67"/>
      <c r="K4" s="67"/>
      <c r="L4" s="67"/>
      <c r="M4" s="67"/>
      <c r="N4" s="67"/>
      <c r="O4" s="67">
        <f t="shared" si="0"/>
        <v>64068</v>
      </c>
      <c r="P4" s="22"/>
      <c r="Q4" s="22"/>
      <c r="R4" s="22"/>
      <c r="S4" s="22"/>
      <c r="T4" s="22"/>
      <c r="U4" s="10"/>
      <c r="V4" s="10"/>
      <c r="W4" s="10"/>
      <c r="X4" s="10"/>
    </row>
    <row r="5" spans="1:24" s="10" customFormat="1" ht="15.6" customHeight="1">
      <c r="B5" s="68" t="s">
        <v>68</v>
      </c>
      <c r="C5" s="69">
        <f>9045+839+2821</f>
        <v>12705</v>
      </c>
      <c r="D5" s="69">
        <f>3400+704+2177</f>
        <v>6281</v>
      </c>
      <c r="E5" s="69"/>
      <c r="F5" s="72"/>
      <c r="G5" s="69"/>
      <c r="H5" s="69"/>
      <c r="I5" s="69"/>
      <c r="J5" s="69"/>
      <c r="K5" s="69"/>
      <c r="L5" s="69"/>
      <c r="M5" s="69"/>
      <c r="N5" s="69"/>
      <c r="O5" s="69"/>
      <c r="P5" s="22"/>
      <c r="Q5" s="22"/>
      <c r="R5" s="22"/>
      <c r="S5" s="22"/>
      <c r="T5" s="22"/>
    </row>
    <row r="6" spans="1:24" s="51" customFormat="1">
      <c r="A6" s="10"/>
      <c r="B6" s="96" t="s">
        <v>69</v>
      </c>
      <c r="C6" s="67">
        <f>24298+1180+360</f>
        <v>25838</v>
      </c>
      <c r="D6" s="67">
        <f>36516+2100</f>
        <v>38616</v>
      </c>
      <c r="E6" s="67">
        <f>31432</f>
        <v>31432</v>
      </c>
      <c r="F6" s="67"/>
      <c r="G6" s="67"/>
      <c r="H6" s="67"/>
      <c r="I6" s="67"/>
      <c r="J6" s="67"/>
      <c r="K6" s="67"/>
      <c r="L6" s="67"/>
      <c r="M6" s="67"/>
      <c r="N6" s="67"/>
      <c r="O6" s="67">
        <f t="shared" si="0"/>
        <v>95886</v>
      </c>
      <c r="P6" s="97"/>
      <c r="Q6" s="97"/>
      <c r="R6" s="97"/>
      <c r="S6" s="97"/>
      <c r="T6" s="97"/>
    </row>
    <row r="7" spans="1:24" s="10" customFormat="1" hidden="1" outlineLevel="1">
      <c r="B7" s="74" t="s">
        <v>70</v>
      </c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7"/>
      <c r="P7" s="22"/>
      <c r="Q7" s="22"/>
      <c r="R7" s="22"/>
      <c r="S7" s="22"/>
      <c r="T7" s="22"/>
    </row>
    <row r="8" spans="1:24" s="51" customFormat="1" hidden="1" outlineLevel="1">
      <c r="A8" s="10"/>
      <c r="B8" s="96" t="s">
        <v>71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97"/>
      <c r="Q8" s="97"/>
      <c r="R8" s="97"/>
      <c r="S8" s="97"/>
      <c r="T8" s="97"/>
    </row>
    <row r="9" spans="1:24" s="10" customFormat="1" ht="15" customHeight="1" collapsed="1">
      <c r="B9" s="68" t="s">
        <v>15</v>
      </c>
      <c r="C9" s="69">
        <v>10475</v>
      </c>
      <c r="D9" s="69">
        <v>0</v>
      </c>
      <c r="E9" s="69">
        <f>17814</f>
        <v>17814</v>
      </c>
      <c r="F9" s="72"/>
      <c r="G9" s="69"/>
      <c r="H9" s="69"/>
      <c r="I9" s="69"/>
      <c r="J9" s="69"/>
      <c r="K9" s="69"/>
      <c r="L9" s="69"/>
      <c r="M9" s="69"/>
      <c r="N9" s="69"/>
      <c r="O9" s="69">
        <f t="shared" si="0"/>
        <v>28289</v>
      </c>
      <c r="P9" s="22"/>
      <c r="Q9" s="22"/>
      <c r="R9" s="22"/>
      <c r="S9" s="22"/>
      <c r="T9" s="22"/>
    </row>
    <row r="10" spans="1:24" s="98" customFormat="1">
      <c r="A10" s="41"/>
      <c r="B10" s="96" t="s">
        <v>34</v>
      </c>
      <c r="C10" s="67">
        <v>15000</v>
      </c>
      <c r="D10" s="67">
        <v>17000</v>
      </c>
      <c r="E10" s="67">
        <v>20001</v>
      </c>
      <c r="G10" s="100"/>
      <c r="H10" s="100"/>
      <c r="I10" s="100"/>
      <c r="J10" s="100"/>
      <c r="K10" s="100"/>
      <c r="L10" s="100"/>
      <c r="M10" s="101"/>
      <c r="N10" s="101"/>
      <c r="O10" s="67">
        <f t="shared" si="0"/>
        <v>52001</v>
      </c>
    </row>
    <row r="11" spans="1:24" s="10" customFormat="1">
      <c r="B11" s="68" t="s">
        <v>30</v>
      </c>
      <c r="C11" s="76">
        <v>7790</v>
      </c>
      <c r="D11" s="76">
        <f>34300-7590</f>
        <v>26710</v>
      </c>
      <c r="E11" s="76">
        <f>6598</f>
        <v>6598</v>
      </c>
      <c r="F11" s="76"/>
      <c r="G11" s="76"/>
      <c r="H11" s="76"/>
      <c r="I11" s="76"/>
      <c r="J11" s="76"/>
      <c r="K11" s="76"/>
      <c r="L11" s="76"/>
      <c r="M11" s="76"/>
      <c r="N11" s="76"/>
      <c r="O11" s="69">
        <f t="shared" si="0"/>
        <v>41098</v>
      </c>
      <c r="P11" s="24"/>
      <c r="Q11" s="24"/>
      <c r="R11" s="24"/>
      <c r="S11" s="24"/>
      <c r="T11" s="24"/>
    </row>
    <row r="12" spans="1:24" s="65" customFormat="1">
      <c r="A12" s="5"/>
      <c r="B12" s="66" t="s">
        <v>16</v>
      </c>
      <c r="C12" s="75">
        <f>2930+5000</f>
        <v>7930</v>
      </c>
      <c r="D12" s="75">
        <f>7590</f>
        <v>7590</v>
      </c>
      <c r="E12" s="99">
        <f>3000</f>
        <v>3000</v>
      </c>
      <c r="F12" s="75"/>
      <c r="G12" s="75"/>
      <c r="H12" s="75"/>
      <c r="I12" s="75"/>
      <c r="J12" s="75"/>
      <c r="K12" s="75"/>
      <c r="L12" s="75"/>
      <c r="M12" s="75"/>
      <c r="N12" s="75"/>
      <c r="O12" s="67">
        <f t="shared" si="0"/>
        <v>18520</v>
      </c>
      <c r="P12" s="102"/>
      <c r="Q12" s="102"/>
      <c r="R12" s="102"/>
      <c r="S12" s="102"/>
      <c r="T12" s="102"/>
    </row>
    <row r="13" spans="1:24" s="5" customFormat="1" ht="13.5" customHeight="1">
      <c r="B13" s="68" t="s">
        <v>72</v>
      </c>
      <c r="C13" s="76">
        <f>2200</f>
        <v>2200</v>
      </c>
      <c r="D13" s="76">
        <f>1500+2500+1660</f>
        <v>5660</v>
      </c>
      <c r="E13" s="76">
        <f>1500+1000+3500</f>
        <v>6000</v>
      </c>
      <c r="F13" s="76"/>
      <c r="G13" s="76"/>
      <c r="H13" s="76"/>
      <c r="I13" s="76"/>
      <c r="J13" s="76"/>
      <c r="K13" s="76"/>
      <c r="L13" s="76"/>
      <c r="M13" s="76"/>
      <c r="N13" s="76"/>
      <c r="O13" s="69">
        <f t="shared" si="0"/>
        <v>13860</v>
      </c>
      <c r="P13" s="24"/>
      <c r="Q13" s="24"/>
      <c r="R13" s="24"/>
      <c r="S13" s="24"/>
      <c r="T13" s="24"/>
    </row>
    <row r="14" spans="1:24" s="65" customFormat="1">
      <c r="A14" s="5"/>
      <c r="B14" s="66" t="s">
        <v>65</v>
      </c>
      <c r="C14" s="75">
        <f>855+4000+18147-5500+780+2970</f>
        <v>21252</v>
      </c>
      <c r="D14" s="75">
        <f>7800</f>
        <v>7800</v>
      </c>
      <c r="E14" s="75">
        <f>15000</f>
        <v>15000</v>
      </c>
      <c r="F14" s="75"/>
      <c r="G14" s="75"/>
      <c r="H14" s="75"/>
      <c r="I14" s="75"/>
      <c r="J14" s="75"/>
      <c r="K14" s="75"/>
      <c r="L14" s="75"/>
      <c r="M14" s="75"/>
      <c r="N14" s="75"/>
      <c r="O14" s="67">
        <f t="shared" si="0"/>
        <v>44052</v>
      </c>
      <c r="P14" s="102"/>
      <c r="Q14" s="102"/>
      <c r="R14" s="102"/>
      <c r="S14" s="102"/>
      <c r="T14" s="102"/>
    </row>
    <row r="15" spans="1:24" s="5" customFormat="1">
      <c r="B15" s="68" t="s">
        <v>73</v>
      </c>
      <c r="C15" s="76">
        <f>670+1000+4950+2000</f>
        <v>8620</v>
      </c>
      <c r="D15" s="76">
        <f>1400+7000+1500+2000</f>
        <v>11900</v>
      </c>
      <c r="E15" s="76">
        <f>1690+1530+792+590+350+530</f>
        <v>5482</v>
      </c>
      <c r="F15" s="76"/>
      <c r="G15" s="76"/>
      <c r="H15" s="76"/>
      <c r="I15" s="76"/>
      <c r="J15" s="76"/>
      <c r="K15" s="76"/>
      <c r="L15" s="76"/>
      <c r="M15" s="76"/>
      <c r="N15" s="76"/>
      <c r="O15" s="69">
        <f t="shared" si="0"/>
        <v>26002</v>
      </c>
      <c r="P15" s="24"/>
      <c r="Q15" s="24"/>
      <c r="R15" s="24"/>
      <c r="S15" s="24"/>
      <c r="T15" s="24"/>
    </row>
    <row r="16" spans="1:24" s="65" customFormat="1">
      <c r="A16" s="5"/>
      <c r="B16" s="66" t="s">
        <v>76</v>
      </c>
      <c r="C16" s="75">
        <f>3000</f>
        <v>3000</v>
      </c>
      <c r="D16" s="75">
        <f>5000</f>
        <v>5000</v>
      </c>
      <c r="E16" s="75">
        <f>3083</f>
        <v>3083</v>
      </c>
      <c r="F16" s="75"/>
      <c r="G16" s="75"/>
      <c r="H16" s="75"/>
      <c r="I16" s="75"/>
      <c r="J16" s="75"/>
      <c r="K16" s="75"/>
      <c r="L16" s="75"/>
      <c r="M16" s="75"/>
      <c r="N16" s="75"/>
      <c r="O16" s="67"/>
      <c r="P16" s="24"/>
      <c r="Q16" s="24"/>
      <c r="R16" s="24"/>
      <c r="S16" s="24"/>
      <c r="T16" s="24"/>
      <c r="U16" s="5"/>
      <c r="V16" s="5"/>
      <c r="W16" s="5"/>
      <c r="X16" s="5"/>
    </row>
    <row r="17" spans="1:24 16384:16384" s="5" customFormat="1" ht="13.5" customHeight="1">
      <c r="B17" s="68" t="s">
        <v>60</v>
      </c>
      <c r="C17" s="76">
        <f>440</f>
        <v>440</v>
      </c>
      <c r="D17" s="76">
        <f>1935</f>
        <v>1935</v>
      </c>
      <c r="E17" s="76">
        <v>100</v>
      </c>
      <c r="F17" s="76"/>
      <c r="G17" s="76"/>
      <c r="H17" s="76"/>
      <c r="I17" s="76"/>
      <c r="J17" s="76"/>
      <c r="K17" s="76"/>
      <c r="L17" s="76"/>
      <c r="M17" s="76"/>
      <c r="N17" s="76"/>
      <c r="O17" s="67">
        <f t="shared" si="0"/>
        <v>2475</v>
      </c>
      <c r="P17" s="24"/>
      <c r="Q17" s="24"/>
      <c r="R17" s="24"/>
      <c r="S17" s="24"/>
      <c r="T17" s="24"/>
    </row>
    <row r="18" spans="1:24 16384:16384" s="65" customFormat="1" ht="13.5" customHeight="1">
      <c r="A18" s="5"/>
      <c r="B18" s="66" t="s">
        <v>75</v>
      </c>
      <c r="C18" s="75">
        <v>3000</v>
      </c>
      <c r="D18" s="75">
        <f>3500</f>
        <v>3500</v>
      </c>
      <c r="E18" s="75">
        <f>3750+3750+4300</f>
        <v>11800</v>
      </c>
      <c r="F18" s="75"/>
      <c r="G18" s="75"/>
      <c r="H18" s="75"/>
      <c r="I18" s="75"/>
      <c r="J18" s="75"/>
      <c r="K18" s="75"/>
      <c r="L18" s="75"/>
      <c r="M18" s="75"/>
      <c r="N18" s="75"/>
      <c r="O18" s="67"/>
      <c r="P18" s="102"/>
      <c r="Q18" s="102"/>
      <c r="R18" s="102"/>
      <c r="S18" s="102"/>
      <c r="T18" s="102"/>
    </row>
    <row r="19" spans="1:24 16384:16384" s="5" customFormat="1" ht="13.5" customHeight="1">
      <c r="B19" s="68" t="s">
        <v>66</v>
      </c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67">
        <f t="shared" si="0"/>
        <v>0</v>
      </c>
      <c r="P19" s="24"/>
      <c r="Q19" s="24"/>
      <c r="R19" s="24"/>
      <c r="S19" s="24"/>
      <c r="T19" s="24"/>
    </row>
    <row r="20" spans="1:24 16384:16384" s="65" customFormat="1" ht="13.5" customHeight="1">
      <c r="A20" s="5"/>
      <c r="B20" s="66" t="s">
        <v>50</v>
      </c>
      <c r="C20" s="75">
        <f>13360+3925</f>
        <v>17285</v>
      </c>
      <c r="D20" s="75">
        <f>343+5335</f>
        <v>5678</v>
      </c>
      <c r="E20" s="75">
        <f>1500</f>
        <v>1500</v>
      </c>
      <c r="F20" s="75"/>
      <c r="G20" s="75"/>
      <c r="H20" s="75"/>
      <c r="I20" s="75"/>
      <c r="J20" s="75"/>
      <c r="K20" s="75"/>
      <c r="L20" s="75"/>
      <c r="M20" s="75"/>
      <c r="N20" s="75"/>
      <c r="O20" s="67">
        <f t="shared" si="0"/>
        <v>24463</v>
      </c>
      <c r="P20" s="102"/>
      <c r="Q20" s="102"/>
      <c r="R20" s="102"/>
      <c r="S20" s="102"/>
      <c r="T20" s="102"/>
    </row>
    <row r="21" spans="1:24 16384:16384" s="5" customFormat="1" ht="13.5" customHeight="1">
      <c r="B21" s="68" t="s">
        <v>74</v>
      </c>
      <c r="C21" s="76">
        <f>5351+1816</f>
        <v>7167</v>
      </c>
      <c r="D21" s="76"/>
      <c r="E21" s="76">
        <v>9113</v>
      </c>
      <c r="F21" s="76"/>
      <c r="G21" s="76"/>
      <c r="H21" s="76"/>
      <c r="I21" s="76"/>
      <c r="J21" s="76"/>
      <c r="K21" s="76"/>
      <c r="L21" s="76"/>
      <c r="M21" s="76"/>
      <c r="N21" s="76"/>
      <c r="O21" s="67"/>
      <c r="P21" s="24"/>
      <c r="Q21" s="24"/>
      <c r="R21" s="24"/>
      <c r="S21" s="24"/>
      <c r="T21" s="24"/>
    </row>
    <row r="22" spans="1:24 16384:16384" s="5" customFormat="1" ht="13.5" customHeight="1">
      <c r="B22" s="68" t="s">
        <v>21</v>
      </c>
      <c r="C22" s="76"/>
      <c r="D22" s="76">
        <f>1000+400</f>
        <v>1400</v>
      </c>
      <c r="E22" s="76">
        <f>9700+1336</f>
        <v>11036</v>
      </c>
      <c r="F22" s="76"/>
      <c r="G22" s="76"/>
      <c r="H22" s="76"/>
      <c r="I22" s="76"/>
      <c r="J22" s="76"/>
      <c r="K22" s="76"/>
      <c r="L22" s="76"/>
      <c r="M22" s="76"/>
      <c r="N22" s="76"/>
      <c r="O22" s="69">
        <f t="shared" si="0"/>
        <v>12436</v>
      </c>
      <c r="P22" s="24"/>
      <c r="Q22" s="24"/>
      <c r="R22" s="24"/>
      <c r="S22" s="24"/>
      <c r="T22" s="24"/>
    </row>
    <row r="23" spans="1:24 16384:16384" s="65" customFormat="1" ht="13.5" customHeight="1">
      <c r="A23" s="5"/>
      <c r="B23" s="66" t="s">
        <v>77</v>
      </c>
      <c r="C23" s="75">
        <v>55620</v>
      </c>
      <c r="D23" s="75">
        <f>225600+78650</f>
        <v>304250</v>
      </c>
      <c r="E23" s="75">
        <f>112759</f>
        <v>112759</v>
      </c>
      <c r="F23" s="75"/>
      <c r="G23" s="75"/>
      <c r="H23" s="75"/>
      <c r="I23" s="75"/>
      <c r="J23" s="75"/>
      <c r="K23" s="75"/>
      <c r="L23" s="75"/>
      <c r="M23" s="75"/>
      <c r="N23" s="75"/>
      <c r="O23" s="67"/>
      <c r="P23" s="24"/>
      <c r="Q23" s="24"/>
      <c r="R23" s="24"/>
      <c r="S23" s="24"/>
      <c r="T23" s="24"/>
      <c r="U23" s="5"/>
      <c r="V23" s="5"/>
      <c r="W23" s="5"/>
      <c r="X23" s="5"/>
    </row>
    <row r="24" spans="1:24 16384:16384" s="2" customFormat="1">
      <c r="A24" s="39"/>
      <c r="B24" s="89" t="s">
        <v>14</v>
      </c>
      <c r="C24" s="90">
        <f>SUM(C2:C22)</f>
        <v>329188</v>
      </c>
      <c r="D24" s="90">
        <f>SUM(D2:D22)</f>
        <v>318788</v>
      </c>
      <c r="E24" s="90">
        <f>SUM(E2:E22)</f>
        <v>215118</v>
      </c>
      <c r="F24" s="90">
        <f>SUM(F2:F10,F11:F17,F20)</f>
        <v>0</v>
      </c>
      <c r="G24" s="90">
        <f>SUM(G2:G10,G11:G17,G20)</f>
        <v>0</v>
      </c>
      <c r="H24" s="90">
        <f t="shared" ref="H24:N24" si="1">SUM(H2:H10,H11:H17,H20:H22)</f>
        <v>0</v>
      </c>
      <c r="I24" s="90">
        <f t="shared" si="1"/>
        <v>0</v>
      </c>
      <c r="J24" s="90">
        <f t="shared" si="1"/>
        <v>0</v>
      </c>
      <c r="K24" s="90">
        <f t="shared" si="1"/>
        <v>0</v>
      </c>
      <c r="L24" s="90">
        <f t="shared" si="1"/>
        <v>0</v>
      </c>
      <c r="M24" s="90">
        <f t="shared" si="1"/>
        <v>0</v>
      </c>
      <c r="N24" s="90">
        <f t="shared" si="1"/>
        <v>0</v>
      </c>
      <c r="O24" s="90">
        <f>SUM(O2:O17)</f>
        <v>761546</v>
      </c>
      <c r="P24" s="94"/>
      <c r="Q24" s="94"/>
      <c r="R24" s="94"/>
      <c r="S24" s="94"/>
      <c r="T24" s="94"/>
      <c r="U24" s="39"/>
      <c r="V24" s="39"/>
      <c r="W24" s="39"/>
      <c r="X24" s="39"/>
    </row>
    <row r="25" spans="1:24 16384:16384" s="10" customFormat="1">
      <c r="B25" s="77" t="s">
        <v>18</v>
      </c>
      <c r="C25" s="78">
        <v>32750</v>
      </c>
      <c r="D25" s="78">
        <v>32750</v>
      </c>
      <c r="E25" s="78">
        <v>32750</v>
      </c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58"/>
      <c r="Q25" s="58"/>
      <c r="R25" s="58"/>
      <c r="S25" s="58"/>
      <c r="T25" s="58"/>
    </row>
    <row r="26" spans="1:24 16384:16384" s="10" customFormat="1">
      <c r="B26" s="77" t="s">
        <v>46</v>
      </c>
      <c r="C26" s="78">
        <v>907</v>
      </c>
      <c r="D26" s="78">
        <v>907</v>
      </c>
      <c r="E26" s="78">
        <v>907</v>
      </c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58"/>
      <c r="Q26" s="58"/>
      <c r="R26" s="58"/>
      <c r="S26" s="58"/>
      <c r="T26" s="58"/>
    </row>
    <row r="27" spans="1:24 16384:16384" s="2" customFormat="1">
      <c r="A27" s="39"/>
      <c r="B27" s="91" t="s">
        <v>23</v>
      </c>
      <c r="C27" s="92"/>
      <c r="D27" s="92"/>
      <c r="E27" s="92"/>
      <c r="F27" s="110">
        <v>46146</v>
      </c>
      <c r="G27" s="92"/>
      <c r="H27" s="92"/>
      <c r="I27" s="92"/>
      <c r="J27" s="92"/>
      <c r="K27" s="92"/>
      <c r="L27" s="92"/>
      <c r="M27" s="92"/>
      <c r="N27" s="90"/>
      <c r="O27" s="90"/>
      <c r="P27" s="94"/>
      <c r="Q27" s="94"/>
      <c r="R27" s="94"/>
      <c r="S27" s="94"/>
      <c r="T27" s="94"/>
      <c r="U27" s="39"/>
      <c r="V27" s="39"/>
      <c r="W27" s="39"/>
      <c r="X27" s="39"/>
    </row>
    <row r="28" spans="1:24 16384:16384" s="10" customFormat="1">
      <c r="B28" s="77" t="s">
        <v>36</v>
      </c>
      <c r="C28" s="78">
        <v>1002805</v>
      </c>
      <c r="D28" s="78">
        <v>1002805</v>
      </c>
      <c r="E28" s="109">
        <v>0</v>
      </c>
      <c r="F28" s="78">
        <v>0</v>
      </c>
      <c r="G28" s="78"/>
      <c r="H28" s="78"/>
      <c r="I28" s="78"/>
      <c r="J28" s="78"/>
      <c r="K28" s="78"/>
      <c r="L28" s="78"/>
      <c r="M28" s="78"/>
      <c r="N28" s="78"/>
      <c r="O28" s="78"/>
      <c r="P28" s="58"/>
      <c r="Q28" s="58"/>
      <c r="R28" s="58"/>
      <c r="S28" s="58"/>
      <c r="T28" s="58"/>
    </row>
    <row r="29" spans="1:24 16384:16384" s="10" customFormat="1">
      <c r="B29" s="77" t="s">
        <v>83</v>
      </c>
      <c r="C29" s="78">
        <v>445845</v>
      </c>
      <c r="D29" s="78">
        <f>301245</f>
        <v>301245</v>
      </c>
      <c r="E29" s="109">
        <f>301245</f>
        <v>301245</v>
      </c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58"/>
      <c r="Q29" s="58"/>
      <c r="R29" s="58"/>
      <c r="S29" s="58"/>
      <c r="T29" s="58"/>
      <c r="XFD29" s="57" t="s">
        <v>25</v>
      </c>
    </row>
    <row r="30" spans="1:24 16384:16384" s="10" customFormat="1">
      <c r="B30" s="77" t="s">
        <v>84</v>
      </c>
      <c r="C30" s="78">
        <v>561144</v>
      </c>
      <c r="D30" s="78">
        <v>529836</v>
      </c>
      <c r="E30" s="109">
        <v>529836</v>
      </c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58"/>
      <c r="Q30" s="58"/>
      <c r="R30" s="58"/>
      <c r="S30" s="58"/>
      <c r="T30" s="58"/>
    </row>
    <row r="31" spans="1:24 16384:16384" s="10" customFormat="1">
      <c r="B31" s="77" t="s">
        <v>38</v>
      </c>
      <c r="C31" s="78">
        <f>633660+250934</f>
        <v>884594</v>
      </c>
      <c r="D31" s="78">
        <f>762147+267400</f>
        <v>1029547</v>
      </c>
      <c r="E31" s="109">
        <f>762147+267400</f>
        <v>1029547</v>
      </c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58"/>
      <c r="Q31" s="58"/>
      <c r="R31" s="58"/>
      <c r="S31" s="58"/>
      <c r="T31" s="58"/>
    </row>
    <row r="32" spans="1:24 16384:16384" s="34" customFormat="1" ht="15" customHeight="1">
      <c r="A32" s="10"/>
      <c r="B32" s="79" t="s">
        <v>22</v>
      </c>
      <c r="C32" s="80">
        <f>C25+SUM(C28:C30)</f>
        <v>2042544</v>
      </c>
      <c r="D32" s="80">
        <f>D25+SUM(D28:D30)</f>
        <v>1866636</v>
      </c>
      <c r="E32" s="80">
        <f t="shared" ref="E32:G32" si="2">E25+SUM(E28:E30)</f>
        <v>863831</v>
      </c>
      <c r="F32" s="80">
        <f t="shared" si="2"/>
        <v>0</v>
      </c>
      <c r="G32" s="80">
        <f t="shared" si="2"/>
        <v>0</v>
      </c>
      <c r="H32" s="80">
        <f t="shared" ref="H32:O32" si="3">H25+SUM(H28:H29)</f>
        <v>0</v>
      </c>
      <c r="I32" s="80">
        <f t="shared" si="3"/>
        <v>0</v>
      </c>
      <c r="J32" s="80">
        <f t="shared" si="3"/>
        <v>0</v>
      </c>
      <c r="K32" s="80">
        <f t="shared" si="3"/>
        <v>0</v>
      </c>
      <c r="L32" s="80">
        <f t="shared" si="3"/>
        <v>0</v>
      </c>
      <c r="M32" s="80">
        <f t="shared" si="3"/>
        <v>0</v>
      </c>
      <c r="N32" s="80">
        <f t="shared" si="3"/>
        <v>0</v>
      </c>
      <c r="O32" s="80">
        <f t="shared" si="3"/>
        <v>0</v>
      </c>
      <c r="P32" s="57"/>
      <c r="Q32" s="58"/>
      <c r="R32" s="58"/>
      <c r="S32" s="58"/>
      <c r="T32" s="58"/>
      <c r="U32" s="10"/>
      <c r="V32" s="10"/>
      <c r="W32" s="10"/>
      <c r="X32" s="10"/>
    </row>
    <row r="33" spans="1:24" s="9" customFormat="1">
      <c r="A33" s="10"/>
      <c r="B33" s="81" t="s">
        <v>19</v>
      </c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3"/>
      <c r="N33" s="82"/>
      <c r="O33" s="82"/>
      <c r="P33" s="58"/>
      <c r="Q33" s="58"/>
      <c r="R33" s="58"/>
      <c r="S33" s="58"/>
      <c r="T33" s="58"/>
      <c r="U33" s="10"/>
      <c r="V33" s="10"/>
      <c r="W33" s="10"/>
      <c r="X33" s="10"/>
    </row>
    <row r="34" spans="1:24" s="10" customFormat="1">
      <c r="B34" s="84" t="s">
        <v>85</v>
      </c>
      <c r="C34" s="85">
        <v>60900</v>
      </c>
      <c r="D34" s="85">
        <v>174000</v>
      </c>
      <c r="E34" s="85">
        <v>174000</v>
      </c>
      <c r="F34" s="85"/>
      <c r="G34" s="85"/>
      <c r="H34" s="85"/>
      <c r="I34" s="85"/>
      <c r="J34" s="85"/>
      <c r="K34" s="85"/>
      <c r="L34" s="85"/>
      <c r="M34" s="85"/>
      <c r="N34" s="85"/>
      <c r="O34" s="86">
        <f t="shared" ref="O34:O36" si="4">SUM(C34:N34)</f>
        <v>408900</v>
      </c>
      <c r="P34" s="55"/>
      <c r="Q34" s="55"/>
      <c r="R34" s="55"/>
      <c r="S34" s="55"/>
      <c r="T34" s="55"/>
    </row>
    <row r="35" spans="1:24" s="10" customFormat="1">
      <c r="B35" s="84" t="s">
        <v>41</v>
      </c>
      <c r="C35" s="78">
        <f>57192</f>
        <v>57192</v>
      </c>
      <c r="D35" s="78">
        <f>52658+127660+100000</f>
        <v>280318</v>
      </c>
      <c r="E35" s="78">
        <f>42878+147392</f>
        <v>190270</v>
      </c>
      <c r="F35" s="78"/>
      <c r="G35" s="78"/>
      <c r="H35" s="85"/>
      <c r="I35" s="85"/>
      <c r="J35" s="85"/>
      <c r="K35" s="85"/>
      <c r="L35" s="85"/>
      <c r="M35" s="78"/>
      <c r="N35" s="78"/>
      <c r="O35" s="86">
        <f t="shared" si="4"/>
        <v>527780</v>
      </c>
      <c r="P35" s="58"/>
      <c r="Q35" s="58"/>
      <c r="R35" s="58"/>
      <c r="S35" s="58"/>
      <c r="T35" s="58"/>
    </row>
    <row r="36" spans="1:24" s="10" customFormat="1">
      <c r="B36" s="84" t="s">
        <v>63</v>
      </c>
      <c r="C36" s="85">
        <v>246367</v>
      </c>
      <c r="D36" s="78">
        <f>246000</f>
        <v>246000</v>
      </c>
      <c r="E36" s="78">
        <v>246100</v>
      </c>
      <c r="F36" s="78">
        <f>297662-67200</f>
        <v>230462</v>
      </c>
      <c r="G36" s="78"/>
      <c r="H36" s="85"/>
      <c r="I36" s="85"/>
      <c r="J36" s="85"/>
      <c r="K36" s="85"/>
      <c r="L36" s="85"/>
      <c r="M36" s="78"/>
      <c r="N36" s="78"/>
      <c r="O36" s="86">
        <f t="shared" si="4"/>
        <v>968929</v>
      </c>
      <c r="P36" s="58"/>
      <c r="Q36" s="58"/>
      <c r="R36" s="58"/>
      <c r="S36" s="58"/>
      <c r="T36" s="58"/>
    </row>
    <row r="37" spans="1:24" s="10" customFormat="1">
      <c r="B37" s="84" t="s">
        <v>93</v>
      </c>
      <c r="C37" s="78">
        <f>92799</f>
        <v>92799</v>
      </c>
      <c r="D37" s="78">
        <f>81200+91579-100000</f>
        <v>72779</v>
      </c>
      <c r="E37" s="78">
        <f>74571+82420</f>
        <v>156991</v>
      </c>
      <c r="F37" s="78"/>
      <c r="G37" s="78"/>
      <c r="H37" s="85"/>
      <c r="I37" s="85"/>
      <c r="J37" s="85"/>
      <c r="K37" s="85"/>
      <c r="L37" s="85"/>
      <c r="M37" s="78"/>
      <c r="N37" s="78"/>
      <c r="O37" s="86"/>
      <c r="P37" s="58"/>
      <c r="Q37" s="58"/>
      <c r="R37" s="58"/>
      <c r="S37" s="58"/>
      <c r="T37" s="58"/>
    </row>
    <row r="38" spans="1:24" s="10" customFormat="1">
      <c r="B38" s="84" t="s">
        <v>45</v>
      </c>
      <c r="C38" s="78"/>
      <c r="D38" s="78"/>
      <c r="E38" s="78"/>
      <c r="F38" s="78">
        <f>52000+88112</f>
        <v>140112</v>
      </c>
      <c r="G38" s="78"/>
      <c r="H38" s="85"/>
      <c r="I38" s="85"/>
      <c r="J38" s="85"/>
      <c r="K38" s="85"/>
      <c r="L38" s="85"/>
      <c r="M38" s="78"/>
      <c r="N38" s="78"/>
      <c r="O38" s="86"/>
      <c r="P38" s="58"/>
      <c r="Q38" s="58"/>
      <c r="R38" s="58"/>
      <c r="S38" s="58"/>
      <c r="T38" s="58"/>
    </row>
    <row r="39" spans="1:24" s="12" customFormat="1">
      <c r="A39" s="40"/>
      <c r="B39" s="87" t="s">
        <v>20</v>
      </c>
      <c r="C39" s="88">
        <f>SUM(C34:C38)</f>
        <v>457258</v>
      </c>
      <c r="D39" s="88">
        <f>SUM(D34:D38)</f>
        <v>773097</v>
      </c>
      <c r="E39" s="88">
        <f t="shared" ref="E39:N39" si="5">SUM(E34:E38)</f>
        <v>767361</v>
      </c>
      <c r="F39" s="88">
        <f t="shared" si="5"/>
        <v>370574</v>
      </c>
      <c r="G39" s="88">
        <f t="shared" si="5"/>
        <v>0</v>
      </c>
      <c r="H39" s="88">
        <f t="shared" si="5"/>
        <v>0</v>
      </c>
      <c r="I39" s="88">
        <f t="shared" si="5"/>
        <v>0</v>
      </c>
      <c r="J39" s="88">
        <f t="shared" si="5"/>
        <v>0</v>
      </c>
      <c r="K39" s="88">
        <f t="shared" si="5"/>
        <v>0</v>
      </c>
      <c r="L39" s="88">
        <f t="shared" si="5"/>
        <v>0</v>
      </c>
      <c r="M39" s="88">
        <f t="shared" si="5"/>
        <v>0</v>
      </c>
      <c r="N39" s="88">
        <f t="shared" si="5"/>
        <v>0</v>
      </c>
      <c r="O39" s="88">
        <f>SUM(C39:N39)</f>
        <v>2368290</v>
      </c>
      <c r="P39" s="95"/>
      <c r="Q39" s="95"/>
      <c r="R39" s="95"/>
      <c r="S39" s="95"/>
      <c r="T39" s="95"/>
      <c r="U39" s="40"/>
      <c r="V39" s="40"/>
      <c r="W39" s="40"/>
      <c r="X39" s="40"/>
    </row>
    <row r="40" spans="1:24">
      <c r="M40" s="28"/>
    </row>
    <row r="42" spans="1:24">
      <c r="D42" s="28">
        <f>200000-27606</f>
        <v>172394</v>
      </c>
    </row>
    <row r="43" spans="1:24">
      <c r="D43" s="28">
        <f>270+102</f>
        <v>372</v>
      </c>
      <c r="E43" s="28">
        <f>D43*1000-E45</f>
        <v>254773</v>
      </c>
    </row>
    <row r="44" spans="1:24">
      <c r="D44" s="28">
        <f>D43-140</f>
        <v>232</v>
      </c>
      <c r="E44" s="28">
        <f>160000+3773+39000+80000</f>
        <v>282773</v>
      </c>
    </row>
    <row r="45" spans="1:24">
      <c r="E45" s="28">
        <f>400000-E44</f>
        <v>117227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XFD81"/>
  <sheetViews>
    <sheetView zoomScale="110" zoomScaleNormal="110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H21" sqref="H21:M21"/>
    </sheetView>
  </sheetViews>
  <sheetFormatPr defaultRowHeight="15"/>
  <cols>
    <col min="1" max="1" width="8.7109375" style="10"/>
    <col min="2" max="2" width="47.42578125" customWidth="1"/>
    <col min="3" max="3" width="12" style="28" customWidth="1"/>
    <col min="4" max="4" width="11.5703125" style="28" customWidth="1"/>
    <col min="5" max="5" width="10.5703125" style="28" customWidth="1"/>
    <col min="6" max="6" width="11.85546875" style="28" customWidth="1"/>
    <col min="7" max="7" width="10.7109375" style="28" bestFit="1" customWidth="1"/>
    <col min="8" max="8" width="9.85546875" style="28" bestFit="1" customWidth="1"/>
    <col min="9" max="9" width="11" style="28" bestFit="1" customWidth="1"/>
    <col min="10" max="10" width="9.85546875" style="28" bestFit="1" customWidth="1"/>
    <col min="11" max="11" width="10.28515625" style="28" bestFit="1" customWidth="1"/>
    <col min="12" max="12" width="10.7109375" style="28" bestFit="1" customWidth="1"/>
    <col min="13" max="13" width="10.28515625" style="11" bestFit="1" customWidth="1"/>
    <col min="14" max="14" width="9.85546875" style="28" bestFit="1" customWidth="1"/>
    <col min="15" max="15" width="10.7109375" style="28" customWidth="1"/>
    <col min="16" max="20" width="8.7109375" style="11"/>
  </cols>
  <sheetData>
    <row r="1" spans="1:69" s="38" customFormat="1">
      <c r="A1" s="39"/>
      <c r="B1" s="36"/>
      <c r="C1" s="37" t="s">
        <v>1</v>
      </c>
      <c r="D1" s="37" t="s">
        <v>2</v>
      </c>
      <c r="E1" s="37" t="s">
        <v>3</v>
      </c>
      <c r="F1" s="37" t="s">
        <v>4</v>
      </c>
      <c r="G1" s="37" t="s">
        <v>5</v>
      </c>
      <c r="H1" s="37" t="s">
        <v>6</v>
      </c>
      <c r="I1" s="37" t="s">
        <v>7</v>
      </c>
      <c r="J1" s="37" t="s">
        <v>8</v>
      </c>
      <c r="K1" s="37" t="s">
        <v>9</v>
      </c>
      <c r="L1" s="37" t="s">
        <v>10</v>
      </c>
      <c r="M1" s="37" t="s">
        <v>11</v>
      </c>
      <c r="N1" s="37" t="s">
        <v>12</v>
      </c>
      <c r="O1" s="37" t="s">
        <v>26</v>
      </c>
      <c r="P1" s="37"/>
      <c r="Q1" s="37"/>
      <c r="R1" s="37"/>
      <c r="S1" s="37"/>
      <c r="T1" s="37"/>
    </row>
    <row r="2" spans="1:69" s="1" customFormat="1">
      <c r="A2" s="10"/>
      <c r="B2" s="19" t="s">
        <v>0</v>
      </c>
      <c r="C2" s="20">
        <v>48000</v>
      </c>
      <c r="D2" s="20">
        <v>48000</v>
      </c>
      <c r="E2" s="20">
        <v>48000</v>
      </c>
      <c r="F2" s="20"/>
      <c r="G2" s="20"/>
      <c r="H2" s="20"/>
      <c r="I2" s="20"/>
      <c r="J2" s="20"/>
      <c r="K2" s="20"/>
      <c r="L2" s="20"/>
      <c r="M2" s="20"/>
      <c r="N2" s="20"/>
      <c r="O2" s="20">
        <f>SUM(C2:N2)</f>
        <v>144000</v>
      </c>
      <c r="P2" s="20"/>
      <c r="Q2" s="20"/>
      <c r="R2" s="20"/>
      <c r="S2" s="20"/>
      <c r="T2" s="20"/>
    </row>
    <row r="3" spans="1:69" ht="15" customHeight="1">
      <c r="B3" s="18" t="s">
        <v>27</v>
      </c>
      <c r="C3" s="14">
        <v>29415</v>
      </c>
      <c r="D3" s="14">
        <v>27989</v>
      </c>
      <c r="E3" s="14">
        <v>29414</v>
      </c>
      <c r="F3" s="61">
        <f>33126-1660</f>
        <v>31466</v>
      </c>
      <c r="G3" s="14">
        <v>32730</v>
      </c>
      <c r="H3" s="14">
        <f>32522</f>
        <v>32522</v>
      </c>
      <c r="I3" s="14">
        <v>22889</v>
      </c>
      <c r="J3" s="14">
        <v>23014</v>
      </c>
      <c r="K3" s="14">
        <v>21315</v>
      </c>
      <c r="L3" s="14">
        <f>19442</f>
        <v>19442</v>
      </c>
      <c r="M3" s="14">
        <v>26750</v>
      </c>
      <c r="N3" s="14"/>
      <c r="O3" s="14">
        <f t="shared" ref="O3:O18" si="0">SUM(C3:N3)</f>
        <v>296946</v>
      </c>
      <c r="P3" s="14">
        <f>O3/11</f>
        <v>26995.090909090908</v>
      </c>
      <c r="Q3" s="14"/>
      <c r="R3" s="14"/>
      <c r="S3" s="14"/>
      <c r="T3" s="14"/>
    </row>
    <row r="4" spans="1:69" s="1" customFormat="1">
      <c r="A4" s="10"/>
      <c r="B4" s="19" t="s">
        <v>31</v>
      </c>
      <c r="C4" s="20">
        <v>65000</v>
      </c>
      <c r="D4" s="20">
        <v>65000</v>
      </c>
      <c r="E4" s="20">
        <v>65000</v>
      </c>
      <c r="F4" s="61">
        <f>65000+131000</f>
        <v>196000</v>
      </c>
      <c r="G4" s="20">
        <f>65000</f>
        <v>65000</v>
      </c>
      <c r="H4" s="20">
        <v>165000</v>
      </c>
      <c r="I4" s="20">
        <f>131000+65000</f>
        <v>196000</v>
      </c>
      <c r="J4" s="20">
        <f>65000+135000</f>
        <v>200000</v>
      </c>
      <c r="K4" s="20">
        <f>65000+135000</f>
        <v>200000</v>
      </c>
      <c r="L4" s="20">
        <f>86000+65000</f>
        <v>151000</v>
      </c>
      <c r="M4" s="20">
        <f>65000+130000</f>
        <v>195000</v>
      </c>
      <c r="N4" s="20"/>
      <c r="O4" s="20">
        <f t="shared" si="0"/>
        <v>1563000</v>
      </c>
      <c r="P4" s="20"/>
      <c r="Q4" s="20"/>
      <c r="R4" s="20"/>
      <c r="S4" s="20"/>
      <c r="T4" s="20"/>
    </row>
    <row r="5" spans="1:69" s="1" customFormat="1">
      <c r="A5" s="10"/>
      <c r="B5" s="19" t="s">
        <v>62</v>
      </c>
      <c r="C5" s="20"/>
      <c r="D5" s="20"/>
      <c r="E5" s="20"/>
      <c r="F5" s="61"/>
      <c r="G5" s="20"/>
      <c r="H5" s="20"/>
      <c r="I5" s="20"/>
      <c r="J5" s="20"/>
      <c r="K5" s="20"/>
      <c r="L5" s="20">
        <v>180000</v>
      </c>
      <c r="M5" s="20"/>
      <c r="N5" s="20"/>
      <c r="O5" s="20"/>
      <c r="P5" s="20"/>
      <c r="Q5" s="20"/>
      <c r="R5" s="20"/>
      <c r="S5" s="20"/>
      <c r="T5" s="20"/>
    </row>
    <row r="6" spans="1:69" ht="15.6" customHeight="1">
      <c r="B6" s="18" t="s">
        <v>32</v>
      </c>
      <c r="C6" s="14">
        <f>9510+5000+215+120</f>
        <v>14845</v>
      </c>
      <c r="D6" s="14">
        <f>20000+10943+300</f>
        <v>31243</v>
      </c>
      <c r="E6" s="14">
        <f>8843+200+1000</f>
        <v>10043</v>
      </c>
      <c r="F6" s="61">
        <f>10215+200+1880</f>
        <v>12295</v>
      </c>
      <c r="G6" s="14">
        <f>11116+2580+95</f>
        <v>13791</v>
      </c>
      <c r="H6" s="14">
        <f>10222+8648+3492+910</f>
        <v>23272</v>
      </c>
      <c r="I6" s="14">
        <f>10511+13401+1014+577</f>
        <v>25503</v>
      </c>
      <c r="J6" s="14">
        <f>10047+2140+4654+1795</f>
        <v>18636</v>
      </c>
      <c r="K6" s="14">
        <f>6938+1507</f>
        <v>8445</v>
      </c>
      <c r="L6" s="14">
        <f>9858+1020+508+100</f>
        <v>11486</v>
      </c>
      <c r="M6" s="14">
        <f>62080+300+2560+13758</f>
        <v>78698</v>
      </c>
      <c r="N6" s="14"/>
      <c r="O6" s="14">
        <f t="shared" si="0"/>
        <v>248257</v>
      </c>
      <c r="P6" s="14">
        <f>O6/11</f>
        <v>22568.81818181818</v>
      </c>
      <c r="Q6" s="14"/>
      <c r="R6" s="14"/>
      <c r="S6" s="14"/>
      <c r="T6" s="14"/>
    </row>
    <row r="7" spans="1:69" s="1" customFormat="1">
      <c r="A7" s="10"/>
      <c r="B7" s="30" t="s">
        <v>28</v>
      </c>
      <c r="C7" s="20">
        <f>370+300+169+370+230</f>
        <v>1439</v>
      </c>
      <c r="D7" s="20">
        <f>220+279+260</f>
        <v>759</v>
      </c>
      <c r="E7" s="20">
        <f>910+190</f>
        <v>1100</v>
      </c>
      <c r="F7" s="20">
        <f>400+350+90+300+130+300+90+622+635+542+230+356</f>
        <v>4045</v>
      </c>
      <c r="G7" s="20">
        <f>352+560+230</f>
        <v>1142</v>
      </c>
      <c r="H7" s="20">
        <f>378+585+475+490+660+230+666+330</f>
        <v>3814</v>
      </c>
      <c r="I7" s="20">
        <f>492+420+110+230+756+430+1825-1200+700+260+390+130</f>
        <v>4543</v>
      </c>
      <c r="J7" s="20">
        <f>300+570+590+470+480+179+600+916+290+520+380+410+450</f>
        <v>6155</v>
      </c>
      <c r="K7" s="20">
        <f>3629+530+180+540+540+190</f>
        <v>5609</v>
      </c>
      <c r="L7" s="20">
        <f>1004+620</f>
        <v>1624</v>
      </c>
      <c r="M7" s="20">
        <f>560+190+618+368+540+570+565</f>
        <v>3411</v>
      </c>
      <c r="N7" s="20"/>
      <c r="O7" s="20">
        <f t="shared" si="0"/>
        <v>33641</v>
      </c>
      <c r="P7" s="14">
        <f t="shared" ref="P7:P17" si="1">O7/11</f>
        <v>3058.2727272727275</v>
      </c>
      <c r="Q7" s="20"/>
      <c r="R7" s="20"/>
      <c r="S7" s="20"/>
      <c r="T7" s="20"/>
    </row>
    <row r="8" spans="1:69" s="10" customFormat="1">
      <c r="B8" s="21" t="s">
        <v>15</v>
      </c>
      <c r="C8" s="22">
        <f>8065</f>
        <v>8065</v>
      </c>
      <c r="D8" s="22">
        <v>8029</v>
      </c>
      <c r="E8" s="22">
        <v>5014</v>
      </c>
      <c r="F8" s="61">
        <f>7000</f>
        <v>7000</v>
      </c>
      <c r="G8" s="22">
        <f>11559</f>
        <v>11559</v>
      </c>
      <c r="H8" s="22">
        <f>950</f>
        <v>950</v>
      </c>
      <c r="I8" s="22"/>
      <c r="J8" s="22">
        <f>43948</f>
        <v>43948</v>
      </c>
      <c r="K8" s="22"/>
      <c r="L8" s="22">
        <f>57000-31500</f>
        <v>25500</v>
      </c>
      <c r="M8" s="22">
        <v>9161</v>
      </c>
      <c r="N8" s="22"/>
      <c r="O8" s="22">
        <f t="shared" si="0"/>
        <v>119226</v>
      </c>
      <c r="P8" s="14">
        <f t="shared" si="1"/>
        <v>10838.727272727272</v>
      </c>
      <c r="Q8" s="22"/>
      <c r="R8" s="22"/>
      <c r="S8" s="22"/>
      <c r="T8" s="22"/>
    </row>
    <row r="9" spans="1:69" s="30" customFormat="1">
      <c r="A9" s="41"/>
      <c r="B9" s="30" t="s">
        <v>34</v>
      </c>
      <c r="C9" s="20">
        <v>15000</v>
      </c>
      <c r="D9" s="20">
        <v>15000</v>
      </c>
      <c r="E9" s="20">
        <v>15000</v>
      </c>
      <c r="F9" s="62">
        <v>15000</v>
      </c>
      <c r="G9" s="43">
        <f>27000</f>
        <v>27000</v>
      </c>
      <c r="H9" s="43">
        <v>15000</v>
      </c>
      <c r="I9" s="43">
        <v>15000</v>
      </c>
      <c r="J9" s="43">
        <v>15000</v>
      </c>
      <c r="K9" s="43">
        <v>15000</v>
      </c>
      <c r="L9" s="43">
        <v>15000</v>
      </c>
      <c r="M9" s="45">
        <v>15000</v>
      </c>
      <c r="N9" s="45"/>
      <c r="O9" s="20">
        <f t="shared" si="0"/>
        <v>177000</v>
      </c>
      <c r="P9" s="14">
        <f t="shared" si="1"/>
        <v>16090.90909090909</v>
      </c>
    </row>
    <row r="10" spans="1:69" s="10" customFormat="1">
      <c r="B10" s="21" t="s">
        <v>38</v>
      </c>
      <c r="C10" s="16"/>
      <c r="D10" s="16"/>
      <c r="E10" s="16"/>
      <c r="F10" s="16">
        <v>100000</v>
      </c>
      <c r="G10" s="16"/>
      <c r="H10" s="16"/>
      <c r="I10" s="16"/>
      <c r="J10" s="16">
        <v>237354</v>
      </c>
      <c r="K10" s="16"/>
      <c r="L10" s="16">
        <f>170000</f>
        <v>170000</v>
      </c>
      <c r="M10" s="16"/>
      <c r="N10" s="16"/>
      <c r="O10" s="16">
        <f t="shared" si="0"/>
        <v>507354</v>
      </c>
      <c r="P10" s="14"/>
      <c r="Q10" s="24"/>
      <c r="R10" s="24"/>
      <c r="S10" s="24"/>
      <c r="T10" s="24"/>
    </row>
    <row r="11" spans="1:69" s="1" customFormat="1">
      <c r="A11" s="10"/>
      <c r="B11" s="19" t="s">
        <v>13</v>
      </c>
      <c r="C11" s="15"/>
      <c r="D11" s="15"/>
      <c r="E11" s="15"/>
      <c r="F11" s="15"/>
      <c r="G11" s="15">
        <f>38940+30600</f>
        <v>69540</v>
      </c>
      <c r="H11" s="15">
        <f>2182+2500+2046+1881+450+600</f>
        <v>9659</v>
      </c>
      <c r="I11" s="15">
        <v>200000</v>
      </c>
      <c r="J11" s="15"/>
      <c r="K11" s="15">
        <f>1853</f>
        <v>1853</v>
      </c>
      <c r="L11" s="15"/>
      <c r="M11" s="15"/>
      <c r="N11" s="15"/>
      <c r="O11" s="15">
        <f t="shared" si="0"/>
        <v>281052</v>
      </c>
      <c r="P11" s="14"/>
      <c r="Q11" s="23"/>
      <c r="R11" s="23"/>
      <c r="S11" s="23"/>
      <c r="T11" s="23"/>
    </row>
    <row r="12" spans="1:69" s="10" customFormat="1">
      <c r="B12" s="21" t="s">
        <v>30</v>
      </c>
      <c r="C12" s="16">
        <f>16648</f>
        <v>16648</v>
      </c>
      <c r="D12" s="16">
        <v>28993</v>
      </c>
      <c r="E12" s="16">
        <v>800</v>
      </c>
      <c r="F12" s="16"/>
      <c r="G12" s="16"/>
      <c r="H12" s="16">
        <v>700</v>
      </c>
      <c r="I12" s="16">
        <f>9534</f>
        <v>9534</v>
      </c>
      <c r="J12" s="16"/>
      <c r="K12" s="16"/>
      <c r="L12" s="16">
        <f>3156</f>
        <v>3156</v>
      </c>
      <c r="M12" s="16"/>
      <c r="N12" s="16"/>
      <c r="O12" s="16">
        <f t="shared" si="0"/>
        <v>59831</v>
      </c>
      <c r="P12" s="14">
        <f t="shared" si="1"/>
        <v>5439.181818181818</v>
      </c>
      <c r="Q12" s="24"/>
      <c r="R12" s="24"/>
      <c r="S12" s="24"/>
      <c r="T12" s="24"/>
    </row>
    <row r="13" spans="1:69" s="4" customFormat="1">
      <c r="A13" s="5"/>
      <c r="B13" s="19" t="s">
        <v>16</v>
      </c>
      <c r="C13" s="15">
        <f>5600+8000</f>
        <v>13600</v>
      </c>
      <c r="D13" s="15"/>
      <c r="E13" s="15"/>
      <c r="F13" s="15">
        <f>3800</f>
        <v>3800</v>
      </c>
      <c r="G13" s="15"/>
      <c r="H13" s="15">
        <f>13075+8013+5945</f>
        <v>27033</v>
      </c>
      <c r="I13" s="15">
        <f>3690</f>
        <v>3690</v>
      </c>
      <c r="J13" s="15">
        <f>5000</f>
        <v>5000</v>
      </c>
      <c r="K13" s="15">
        <f>1500</f>
        <v>1500</v>
      </c>
      <c r="L13" s="15"/>
      <c r="M13" s="15"/>
      <c r="N13" s="15"/>
      <c r="O13" s="15">
        <f t="shared" si="0"/>
        <v>54623</v>
      </c>
      <c r="P13" s="14">
        <f t="shared" si="1"/>
        <v>4965.727272727273</v>
      </c>
      <c r="Q13" s="23"/>
      <c r="R13" s="23"/>
      <c r="S13" s="23"/>
      <c r="T13" s="23"/>
    </row>
    <row r="14" spans="1:69" s="5" customFormat="1">
      <c r="B14" s="21" t="s">
        <v>17</v>
      </c>
      <c r="C14" s="16">
        <f>650+800</f>
        <v>1450</v>
      </c>
      <c r="D14" s="16">
        <v>1700</v>
      </c>
      <c r="E14" s="16">
        <v>1650</v>
      </c>
      <c r="F14" s="16">
        <f>1000</f>
        <v>1000</v>
      </c>
      <c r="G14" s="16">
        <v>1150</v>
      </c>
      <c r="H14" s="16">
        <f>1150</f>
        <v>1150</v>
      </c>
      <c r="I14" s="16">
        <f>1150+1200+1500+490</f>
        <v>4340</v>
      </c>
      <c r="J14" s="16">
        <f>1500</f>
        <v>1500</v>
      </c>
      <c r="K14" s="16">
        <v>1650</v>
      </c>
      <c r="L14" s="16">
        <v>1200</v>
      </c>
      <c r="M14" s="16">
        <v>1150</v>
      </c>
      <c r="N14" s="16"/>
      <c r="O14" s="16">
        <f t="shared" si="0"/>
        <v>17940</v>
      </c>
      <c r="P14" s="14">
        <f t="shared" si="1"/>
        <v>1630.909090909091</v>
      </c>
      <c r="Q14" s="24"/>
      <c r="R14" s="24"/>
      <c r="S14" s="24"/>
      <c r="T14" s="24"/>
    </row>
    <row r="15" spans="1:69" s="4" customFormat="1">
      <c r="A15" s="5"/>
      <c r="B15" s="19" t="s">
        <v>35</v>
      </c>
      <c r="C15" s="15">
        <f>918+1500+2374+16000</f>
        <v>20792</v>
      </c>
      <c r="D15" s="15">
        <f>7580+5834+415+1200+290+1530+2040</f>
        <v>18889</v>
      </c>
      <c r="E15" s="15">
        <f>5200+3197</f>
        <v>8397</v>
      </c>
      <c r="F15" s="15">
        <f>3641+4808+763+525+1100</f>
        <v>10837</v>
      </c>
      <c r="G15" s="15">
        <f>926+387+300+680+3590+737+1440+440</f>
        <v>8500</v>
      </c>
      <c r="H15" s="15">
        <f>6006+4930+3373+2989+325+470+565+1970+1510+275+80+1320+1464+1119+488+130+235+3010+735+820+625+2070</f>
        <v>34509</v>
      </c>
      <c r="I15" s="15">
        <f>557+435+800+859+6450+250+1687+2642</f>
        <v>13680</v>
      </c>
      <c r="J15" s="15">
        <f>4161+750+470+1915+1500+1200+500</f>
        <v>10496</v>
      </c>
      <c r="K15" s="15">
        <f>182+1580+1608+3530+4000</f>
        <v>10900</v>
      </c>
      <c r="L15" s="15">
        <f>379+1600</f>
        <v>1979</v>
      </c>
      <c r="M15" s="15">
        <f>12000+22400</f>
        <v>34400</v>
      </c>
      <c r="N15" s="15"/>
      <c r="O15" s="15">
        <f t="shared" si="0"/>
        <v>173379</v>
      </c>
      <c r="P15" s="14">
        <f t="shared" si="1"/>
        <v>15761.727272727272</v>
      </c>
      <c r="Q15" s="23"/>
      <c r="R15" s="23"/>
      <c r="S15" s="23"/>
      <c r="T15" s="23"/>
    </row>
    <row r="16" spans="1:69" s="4" customFormat="1">
      <c r="A16" s="5"/>
      <c r="B16" s="21" t="s">
        <v>47</v>
      </c>
      <c r="C16" s="16">
        <v>2700</v>
      </c>
      <c r="D16" s="16">
        <v>1100</v>
      </c>
      <c r="E16" s="16"/>
      <c r="F16" s="16"/>
      <c r="G16" s="16">
        <f>2440</f>
        <v>2440</v>
      </c>
      <c r="H16" s="16"/>
      <c r="I16" s="16">
        <f>9500</f>
        <v>9500</v>
      </c>
      <c r="J16" s="16"/>
      <c r="K16" s="16">
        <f>21080</f>
        <v>21080</v>
      </c>
      <c r="L16" s="16">
        <v>700</v>
      </c>
      <c r="M16" s="16"/>
      <c r="N16" s="16"/>
      <c r="O16" s="16">
        <f t="shared" si="0"/>
        <v>37520</v>
      </c>
      <c r="P16" s="14">
        <f t="shared" si="1"/>
        <v>3410.909090909091</v>
      </c>
      <c r="Q16" s="24"/>
      <c r="R16" s="24"/>
      <c r="S16" s="24"/>
      <c r="T16" s="24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</row>
    <row r="17" spans="1:49 16384:16384" s="5" customFormat="1" ht="13.5" customHeight="1">
      <c r="B17" s="19" t="s">
        <v>21</v>
      </c>
      <c r="C17" s="15">
        <f>12430+1750+1400+500+500</f>
        <v>16580</v>
      </c>
      <c r="D17" s="15">
        <f>5754+5894+1900+577+58+440+500</f>
        <v>15123</v>
      </c>
      <c r="E17" s="15">
        <f>1100+1500+1921+3617+560+1500+1200+688</f>
        <v>12086</v>
      </c>
      <c r="F17" s="15">
        <f>2000</f>
        <v>2000</v>
      </c>
      <c r="G17" s="15">
        <f>4100+750+2900+3200</f>
        <v>10950</v>
      </c>
      <c r="H17" s="15">
        <f>2000+1200</f>
        <v>3200</v>
      </c>
      <c r="I17" s="15">
        <f>1340+350</f>
        <v>1690</v>
      </c>
      <c r="J17" s="15">
        <v>1500</v>
      </c>
      <c r="K17" s="15">
        <f>15000+2600+2000+600+1200</f>
        <v>21400</v>
      </c>
      <c r="L17" s="15">
        <f>31500+3000+3400+3800+3800</f>
        <v>45500</v>
      </c>
      <c r="M17" s="15">
        <f>18800+1600</f>
        <v>20400</v>
      </c>
      <c r="N17" s="15"/>
      <c r="O17" s="15">
        <f t="shared" si="0"/>
        <v>150429</v>
      </c>
      <c r="P17" s="14">
        <f t="shared" si="1"/>
        <v>13675.363636363636</v>
      </c>
      <c r="Q17" s="23"/>
      <c r="R17" s="23"/>
      <c r="S17" s="23"/>
      <c r="T17" s="2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</row>
    <row r="18" spans="1:49 16384:16384" s="5" customFormat="1" ht="13.5" customHeight="1">
      <c r="B18" s="21" t="s">
        <v>49</v>
      </c>
      <c r="C18" s="16">
        <f>3500+16150</f>
        <v>19650</v>
      </c>
      <c r="D18" s="16">
        <f>25305+1300</f>
        <v>26605</v>
      </c>
      <c r="E18" s="16">
        <f>7002+69491+40000+5248</f>
        <v>121741</v>
      </c>
      <c r="F18" s="16">
        <f>15700+4800</f>
        <v>20500</v>
      </c>
      <c r="G18" s="16">
        <f>268+30000</f>
        <v>30268</v>
      </c>
      <c r="H18" s="16"/>
      <c r="I18" s="16">
        <f>26466+4890</f>
        <v>31356</v>
      </c>
      <c r="J18" s="16">
        <f>7519</f>
        <v>7519</v>
      </c>
      <c r="K18" s="16">
        <f>36136+17700+631+2723</f>
        <v>57190</v>
      </c>
      <c r="L18" s="16">
        <f>74745+156700+4440</f>
        <v>235885</v>
      </c>
      <c r="M18" s="16"/>
      <c r="N18" s="16"/>
      <c r="O18" s="16">
        <f t="shared" si="0"/>
        <v>550714</v>
      </c>
      <c r="P18" s="14"/>
      <c r="Q18" s="24"/>
      <c r="R18" s="24"/>
      <c r="S18" s="24"/>
      <c r="T18" s="24"/>
    </row>
    <row r="19" spans="1:49 16384:16384" s="5" customFormat="1" ht="13.5" customHeight="1">
      <c r="B19" s="19" t="s">
        <v>50</v>
      </c>
      <c r="C19" s="15"/>
      <c r="D19" s="15"/>
      <c r="E19" s="15">
        <f>650</f>
        <v>650</v>
      </c>
      <c r="F19" s="15">
        <f>102600+78380</f>
        <v>180980</v>
      </c>
      <c r="G19" s="15">
        <f>1971+1600+23000</f>
        <v>26571</v>
      </c>
      <c r="H19" s="15">
        <f>414</f>
        <v>414</v>
      </c>
      <c r="I19" s="15">
        <f>793</f>
        <v>793</v>
      </c>
      <c r="J19" s="15">
        <f>7801</f>
        <v>7801</v>
      </c>
      <c r="K19" s="15">
        <f>889</f>
        <v>889</v>
      </c>
      <c r="L19" s="15"/>
      <c r="M19" s="15">
        <f>3200</f>
        <v>3200</v>
      </c>
      <c r="N19" s="15"/>
      <c r="O19" s="15"/>
      <c r="P19" s="23"/>
      <c r="Q19" s="23"/>
      <c r="R19" s="23"/>
      <c r="S19" s="23"/>
      <c r="T19" s="23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 spans="1:49 16384:16384" s="5" customFormat="1" ht="13.5" customHeight="1">
      <c r="B20" s="21" t="s">
        <v>60</v>
      </c>
      <c r="C20" s="16"/>
      <c r="D20" s="16"/>
      <c r="E20" s="16"/>
      <c r="F20" s="16"/>
      <c r="G20" s="16"/>
      <c r="H20" s="16">
        <v>156000</v>
      </c>
      <c r="I20" s="16">
        <f>920+38750</f>
        <v>39670</v>
      </c>
      <c r="J20" s="16">
        <f>732+33200</f>
        <v>33932</v>
      </c>
      <c r="K20" s="16">
        <f>25500</f>
        <v>25500</v>
      </c>
      <c r="L20" s="16">
        <f>23100</f>
        <v>23100</v>
      </c>
      <c r="M20" s="16"/>
      <c r="N20" s="16"/>
      <c r="O20" s="16"/>
      <c r="P20" s="24"/>
      <c r="Q20" s="24"/>
      <c r="R20" s="24"/>
      <c r="S20" s="24"/>
      <c r="T20" s="24"/>
    </row>
    <row r="21" spans="1:49 16384:16384" s="2" customFormat="1">
      <c r="A21" s="39"/>
      <c r="B21" s="2" t="s">
        <v>14</v>
      </c>
      <c r="C21" s="3">
        <f>SUM(C2:C17)</f>
        <v>253534</v>
      </c>
      <c r="D21" s="3">
        <f>SUM(D2:D17)</f>
        <v>261825</v>
      </c>
      <c r="E21" s="3">
        <f>SUM(E2:E17,E19)</f>
        <v>197154</v>
      </c>
      <c r="F21" s="3">
        <f>SUM(F2:F9,F11:F17,F19)</f>
        <v>464423</v>
      </c>
      <c r="G21" s="3">
        <f>SUM(G2:G9,G11:G17,G19)</f>
        <v>270373</v>
      </c>
      <c r="H21" s="3">
        <f>SUM(H2:H9,H11:H17,H19:H20)</f>
        <v>473223</v>
      </c>
      <c r="I21" s="3">
        <f t="shared" ref="I21:N21" si="2">SUM(I2:I9,I11:I17,I19:I20)</f>
        <v>546832</v>
      </c>
      <c r="J21" s="3">
        <f t="shared" si="2"/>
        <v>366982</v>
      </c>
      <c r="K21" s="3">
        <f t="shared" si="2"/>
        <v>335141</v>
      </c>
      <c r="L21" s="3">
        <f t="shared" si="2"/>
        <v>479687</v>
      </c>
      <c r="M21" s="3">
        <f t="shared" si="2"/>
        <v>387170</v>
      </c>
      <c r="N21" s="3">
        <f t="shared" si="2"/>
        <v>0</v>
      </c>
      <c r="O21" s="3">
        <f>SUM(O2:O17)</f>
        <v>3864198</v>
      </c>
      <c r="P21" s="25"/>
      <c r="Q21" s="25"/>
      <c r="R21" s="25"/>
      <c r="S21" s="25"/>
      <c r="T21" s="25"/>
    </row>
    <row r="22" spans="1:49 16384:16384" s="7" customFormat="1">
      <c r="A22" s="10"/>
      <c r="B22" s="6" t="s">
        <v>18</v>
      </c>
      <c r="C22" s="8">
        <v>20000</v>
      </c>
      <c r="D22" s="8">
        <v>24000</v>
      </c>
      <c r="E22" s="8">
        <v>14000</v>
      </c>
      <c r="F22" s="8">
        <v>20250</v>
      </c>
      <c r="G22" s="8">
        <v>20250</v>
      </c>
      <c r="H22" s="8">
        <v>22750</v>
      </c>
      <c r="I22" s="8">
        <v>22750</v>
      </c>
      <c r="J22" s="8">
        <v>32750</v>
      </c>
      <c r="K22" s="8">
        <v>32750</v>
      </c>
      <c r="L22" s="8">
        <v>32750</v>
      </c>
      <c r="M22" s="8">
        <v>32750</v>
      </c>
      <c r="N22" s="8">
        <v>32750</v>
      </c>
      <c r="O22" s="8"/>
      <c r="P22" s="26"/>
      <c r="Q22" s="26"/>
      <c r="R22" s="26"/>
      <c r="S22" s="26"/>
      <c r="T22" s="26"/>
    </row>
    <row r="23" spans="1:49 16384:16384" s="7" customFormat="1">
      <c r="A23" s="10"/>
      <c r="B23" s="6" t="s">
        <v>46</v>
      </c>
      <c r="C23" s="8">
        <v>1220</v>
      </c>
      <c r="D23" s="8">
        <v>1220</v>
      </c>
      <c r="E23" s="8">
        <v>1220</v>
      </c>
      <c r="F23" s="8">
        <v>1220</v>
      </c>
      <c r="G23" s="8">
        <v>1220</v>
      </c>
      <c r="H23" s="8">
        <v>1220</v>
      </c>
      <c r="I23" s="8">
        <v>1220</v>
      </c>
      <c r="J23" s="8">
        <v>907</v>
      </c>
      <c r="K23" s="8">
        <v>907</v>
      </c>
      <c r="L23" s="8">
        <v>907</v>
      </c>
      <c r="M23" s="8">
        <v>907</v>
      </c>
      <c r="N23" s="8">
        <v>907</v>
      </c>
      <c r="O23" s="8"/>
      <c r="P23" s="26"/>
      <c r="Q23" s="26"/>
      <c r="R23" s="26"/>
      <c r="S23" s="26"/>
      <c r="T23" s="26"/>
    </row>
    <row r="24" spans="1:49 16384:16384" s="2" customFormat="1">
      <c r="A24" s="39"/>
      <c r="B24" s="35" t="s">
        <v>23</v>
      </c>
      <c r="C24" s="42">
        <v>45689</v>
      </c>
      <c r="D24" s="42">
        <v>45717</v>
      </c>
      <c r="E24" s="42">
        <v>45752</v>
      </c>
      <c r="F24" s="42">
        <v>45779</v>
      </c>
      <c r="G24" s="42">
        <v>45816</v>
      </c>
      <c r="H24" s="42">
        <v>45840</v>
      </c>
      <c r="I24" s="42">
        <v>45872</v>
      </c>
      <c r="J24" s="42">
        <v>45908</v>
      </c>
      <c r="K24" s="42">
        <v>45934</v>
      </c>
      <c r="L24" s="42">
        <v>45962</v>
      </c>
      <c r="M24" s="42">
        <v>45992</v>
      </c>
      <c r="N24" s="42">
        <v>46023</v>
      </c>
      <c r="O24" s="3"/>
      <c r="P24" s="25"/>
      <c r="Q24" s="25"/>
      <c r="R24" s="25"/>
      <c r="S24" s="25"/>
      <c r="T24" s="25"/>
    </row>
    <row r="25" spans="1:49 16384:16384" s="7" customFormat="1">
      <c r="A25" s="10"/>
      <c r="B25" s="6" t="s">
        <v>24</v>
      </c>
      <c r="C25" s="8">
        <v>186140</v>
      </c>
      <c r="D25" s="8">
        <v>227690</v>
      </c>
      <c r="E25" s="8">
        <v>211277</v>
      </c>
      <c r="F25" s="8">
        <v>41860</v>
      </c>
      <c r="G25" s="8">
        <v>424323</v>
      </c>
      <c r="H25" s="8">
        <v>510000</v>
      </c>
      <c r="I25" s="8">
        <v>239745</v>
      </c>
      <c r="J25" s="8">
        <v>867130</v>
      </c>
      <c r="K25" s="8">
        <v>72107</v>
      </c>
      <c r="L25" s="8">
        <v>233325</v>
      </c>
      <c r="M25" s="8">
        <v>300000</v>
      </c>
      <c r="N25" s="8">
        <v>482764</v>
      </c>
      <c r="O25" s="8"/>
      <c r="P25" s="26"/>
      <c r="Q25" s="26"/>
      <c r="R25" s="26"/>
      <c r="S25" s="26"/>
      <c r="T25" s="26"/>
    </row>
    <row r="26" spans="1:49 16384:16384" s="7" customFormat="1">
      <c r="A26" s="10"/>
      <c r="B26" s="6" t="s">
        <v>33</v>
      </c>
      <c r="C26" s="8">
        <f>23218+7645</f>
        <v>30863</v>
      </c>
      <c r="D26" s="8">
        <f>131452+6611</f>
        <v>138063</v>
      </c>
      <c r="E26" s="8">
        <f>164380-100000</f>
        <v>64380</v>
      </c>
      <c r="F26" s="8">
        <v>62460</v>
      </c>
      <c r="G26" s="8">
        <v>210000</v>
      </c>
      <c r="H26" s="8">
        <v>55754</v>
      </c>
      <c r="I26" s="8">
        <v>13904</v>
      </c>
      <c r="J26" s="8">
        <v>61215</v>
      </c>
      <c r="K26" s="8">
        <f>587239-63075</f>
        <v>524164</v>
      </c>
      <c r="L26" s="8">
        <v>134784</v>
      </c>
      <c r="M26" s="8">
        <v>70353</v>
      </c>
      <c r="N26" s="8">
        <v>527369</v>
      </c>
      <c r="O26" s="8"/>
      <c r="P26" s="26"/>
      <c r="Q26" s="26"/>
      <c r="R26" s="26"/>
      <c r="S26" s="26"/>
      <c r="T26" s="26"/>
    </row>
    <row r="27" spans="1:49 16384:16384" s="7" customFormat="1">
      <c r="A27" s="10"/>
      <c r="B27" s="6" t="s">
        <v>36</v>
      </c>
      <c r="C27" s="8">
        <v>1002805</v>
      </c>
      <c r="D27" s="8">
        <v>1002805</v>
      </c>
      <c r="E27" s="8">
        <v>1002805</v>
      </c>
      <c r="F27" s="8">
        <v>1002805</v>
      </c>
      <c r="G27" s="8">
        <v>1002805</v>
      </c>
      <c r="H27" s="8">
        <v>1002805</v>
      </c>
      <c r="I27" s="8">
        <v>1002805</v>
      </c>
      <c r="J27" s="8">
        <v>1002805</v>
      </c>
      <c r="K27" s="8">
        <v>1002805</v>
      </c>
      <c r="L27" s="8">
        <v>1002805</v>
      </c>
      <c r="M27" s="8">
        <v>1002805</v>
      </c>
      <c r="N27" s="8">
        <v>1002805</v>
      </c>
      <c r="O27" s="8"/>
      <c r="P27" s="26"/>
      <c r="Q27" s="26"/>
      <c r="R27" s="26"/>
      <c r="S27" s="26"/>
      <c r="T27" s="26"/>
    </row>
    <row r="28" spans="1:49 16384:16384" s="7" customFormat="1">
      <c r="A28" s="10"/>
      <c r="B28" s="6" t="s">
        <v>51</v>
      </c>
      <c r="C28" s="8">
        <v>600000</v>
      </c>
      <c r="D28" s="8">
        <v>900000</v>
      </c>
      <c r="E28" s="8">
        <v>274786</v>
      </c>
      <c r="F28" s="8">
        <v>221000</v>
      </c>
      <c r="G28" s="8">
        <v>453000</v>
      </c>
      <c r="H28" s="8">
        <v>457000</v>
      </c>
      <c r="I28" s="8">
        <v>3632</v>
      </c>
      <c r="J28" s="8"/>
      <c r="K28" s="8"/>
      <c r="L28" s="8"/>
      <c r="M28" s="8"/>
      <c r="N28" s="8"/>
      <c r="O28" s="8"/>
      <c r="P28" s="26"/>
      <c r="Q28" s="26"/>
      <c r="R28" s="26"/>
      <c r="S28" s="26"/>
      <c r="T28" s="26"/>
    </row>
    <row r="29" spans="1:49 16384:16384" s="7" customFormat="1" ht="15" customHeight="1">
      <c r="A29" s="10"/>
      <c r="B29" s="6" t="s">
        <v>37</v>
      </c>
      <c r="C29" s="8">
        <v>977088</v>
      </c>
      <c r="D29" s="8">
        <v>990579</v>
      </c>
      <c r="E29" s="8">
        <v>431</v>
      </c>
      <c r="F29" s="8">
        <v>1000</v>
      </c>
      <c r="G29" s="8">
        <v>1000</v>
      </c>
      <c r="H29" s="8">
        <v>1624</v>
      </c>
      <c r="I29" s="8"/>
      <c r="J29" s="8"/>
      <c r="K29" s="8">
        <f>249998</f>
        <v>249998</v>
      </c>
      <c r="L29" s="8">
        <v>750303</v>
      </c>
      <c r="M29" s="8">
        <v>550000</v>
      </c>
      <c r="N29" s="8">
        <v>555950</v>
      </c>
      <c r="O29" s="8"/>
      <c r="P29" s="26"/>
      <c r="Q29" s="26"/>
      <c r="R29" s="26"/>
      <c r="S29" s="26"/>
      <c r="T29" s="26"/>
      <c r="XFD29" s="8" t="s">
        <v>25</v>
      </c>
    </row>
    <row r="30" spans="1:49 16384:16384" s="7" customFormat="1">
      <c r="A30" s="10"/>
      <c r="B30" s="6" t="s">
        <v>38</v>
      </c>
      <c r="C30" s="8">
        <v>487042</v>
      </c>
      <c r="D30" s="8">
        <v>485696</v>
      </c>
      <c r="E30" s="8">
        <v>202248</v>
      </c>
      <c r="F30" s="8">
        <v>302000</v>
      </c>
      <c r="G30" s="8">
        <v>300000</v>
      </c>
      <c r="H30" s="8">
        <v>306000</v>
      </c>
      <c r="I30" s="8">
        <v>302512</v>
      </c>
      <c r="J30" s="8">
        <f>350381+227354</f>
        <v>577735</v>
      </c>
      <c r="K30" s="8">
        <f>419477+225775</f>
        <v>645252</v>
      </c>
      <c r="L30" s="8">
        <v>630600</v>
      </c>
      <c r="M30" s="8">
        <v>643000</v>
      </c>
      <c r="N30" s="8">
        <f>429858+239655</f>
        <v>669513</v>
      </c>
      <c r="O30" s="8"/>
      <c r="P30" s="26"/>
      <c r="Q30" s="26"/>
      <c r="R30" s="26"/>
      <c r="S30" s="26"/>
      <c r="T30" s="26"/>
    </row>
    <row r="31" spans="1:49 16384:16384" s="34" customFormat="1">
      <c r="A31" s="10"/>
      <c r="B31" s="31" t="s">
        <v>22</v>
      </c>
      <c r="C31" s="32">
        <f t="shared" ref="C31:O31" si="3">C22+SUM(C25:C30)</f>
        <v>3303938</v>
      </c>
      <c r="D31" s="32">
        <f t="shared" si="3"/>
        <v>3768833</v>
      </c>
      <c r="E31" s="32">
        <f t="shared" si="3"/>
        <v>1769927</v>
      </c>
      <c r="F31" s="32">
        <f t="shared" si="3"/>
        <v>1651375</v>
      </c>
      <c r="G31" s="32">
        <f t="shared" si="3"/>
        <v>2411378</v>
      </c>
      <c r="H31" s="32">
        <f t="shared" si="3"/>
        <v>2355933</v>
      </c>
      <c r="I31" s="32">
        <f t="shared" si="3"/>
        <v>1585348</v>
      </c>
      <c r="J31" s="32">
        <f t="shared" si="3"/>
        <v>2541635</v>
      </c>
      <c r="K31" s="32">
        <f t="shared" si="3"/>
        <v>2527076</v>
      </c>
      <c r="L31" s="32">
        <f>L22+SUM(L25:L30)</f>
        <v>2784567</v>
      </c>
      <c r="M31" s="32">
        <f t="shared" si="3"/>
        <v>2598908</v>
      </c>
      <c r="N31" s="32">
        <f t="shared" si="3"/>
        <v>3271151</v>
      </c>
      <c r="O31" s="32">
        <f t="shared" si="3"/>
        <v>0</v>
      </c>
      <c r="P31" s="32"/>
      <c r="Q31" s="33"/>
      <c r="R31" s="33"/>
      <c r="S31" s="33"/>
      <c r="T31" s="33"/>
    </row>
    <row r="32" spans="1:49 16384:16384" s="9" customFormat="1" ht="15" customHeight="1">
      <c r="A32" s="10"/>
      <c r="B32" s="9" t="s">
        <v>19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17"/>
      <c r="N32" s="27"/>
      <c r="O32" s="27"/>
      <c r="P32" s="17"/>
      <c r="Q32" s="17"/>
      <c r="R32" s="17"/>
      <c r="S32" s="17"/>
      <c r="T32" s="17"/>
    </row>
    <row r="33" spans="1:20" s="10" customFormat="1">
      <c r="B33" s="10" t="s">
        <v>39</v>
      </c>
      <c r="C33" s="55">
        <f>40583+97399</f>
        <v>137982</v>
      </c>
      <c r="D33" s="55">
        <f>131083+68991+62394</f>
        <v>262468</v>
      </c>
      <c r="E33" s="55">
        <f>65706+134367</f>
        <v>200073</v>
      </c>
      <c r="F33" s="55">
        <f>131083+68991</f>
        <v>200074</v>
      </c>
      <c r="G33" s="55">
        <f>146414+68395+2250+53660</f>
        <v>270719</v>
      </c>
      <c r="H33" s="55">
        <f>115830</f>
        <v>115830</v>
      </c>
      <c r="I33" s="55">
        <f>134082+65992</f>
        <v>200074</v>
      </c>
      <c r="J33" s="55">
        <f>222690+1630+72276+7081</f>
        <v>303677</v>
      </c>
      <c r="K33" s="55">
        <f>6272+61003+39199</f>
        <v>106474</v>
      </c>
      <c r="L33" s="55">
        <f>134080+66000</f>
        <v>200080</v>
      </c>
      <c r="M33" s="55">
        <f>191883+65360</f>
        <v>257243</v>
      </c>
      <c r="N33" s="55"/>
      <c r="O33" s="56">
        <f t="shared" ref="O33:O40" si="4">SUM(C33:N33)</f>
        <v>2254694</v>
      </c>
      <c r="P33" s="55"/>
      <c r="Q33" s="55"/>
      <c r="R33" s="55"/>
      <c r="S33" s="55"/>
      <c r="T33" s="55"/>
    </row>
    <row r="34" spans="1:20" s="10" customFormat="1">
      <c r="B34" s="10" t="s">
        <v>40</v>
      </c>
      <c r="C34" s="57">
        <v>3375</v>
      </c>
      <c r="D34" s="57">
        <f>5738+246315-100000</f>
        <v>152053</v>
      </c>
      <c r="E34" s="57">
        <f>143952+5464</f>
        <v>149416</v>
      </c>
      <c r="F34" s="57">
        <f>5738+144226</f>
        <v>149964</v>
      </c>
      <c r="G34" s="55">
        <f>4462+143952</f>
        <v>148414</v>
      </c>
      <c r="H34" s="55">
        <f>150247+97148+4800+242715-300000</f>
        <v>194910</v>
      </c>
      <c r="I34" s="55">
        <f>44858</f>
        <v>44858</v>
      </c>
      <c r="J34" s="55">
        <f>1496+6011</f>
        <v>7507</v>
      </c>
      <c r="K34" s="55">
        <f>5464+5737</f>
        <v>11201</v>
      </c>
      <c r="L34" s="55">
        <f>5738+5904</f>
        <v>11642</v>
      </c>
      <c r="M34" s="57">
        <f>6443+5849</f>
        <v>12292</v>
      </c>
      <c r="N34" s="57">
        <f>6499+6173+36300+33654+1002</f>
        <v>83628</v>
      </c>
      <c r="O34" s="56">
        <f t="shared" si="4"/>
        <v>969260</v>
      </c>
      <c r="P34" s="58"/>
      <c r="Q34" s="58"/>
      <c r="R34" s="58"/>
      <c r="S34" s="58"/>
      <c r="T34" s="58"/>
    </row>
    <row r="35" spans="1:20" s="10" customFormat="1">
      <c r="B35" s="10" t="s">
        <v>41</v>
      </c>
      <c r="C35" s="57"/>
      <c r="D35" s="57">
        <f>50025+100050</f>
        <v>150075</v>
      </c>
      <c r="E35" s="57">
        <f>50025+47643</f>
        <v>97668</v>
      </c>
      <c r="F35" s="57">
        <f>52407+50025</f>
        <v>102432</v>
      </c>
      <c r="G35" s="57">
        <f>50025+158269</f>
        <v>208294</v>
      </c>
      <c r="H35" s="55">
        <f>61142</f>
        <v>61142</v>
      </c>
      <c r="I35" s="55">
        <f>47850+5267</f>
        <v>53117</v>
      </c>
      <c r="J35" s="55">
        <f>52200+52407</f>
        <v>104607</v>
      </c>
      <c r="K35" s="55">
        <f>47642+50025</f>
        <v>97667</v>
      </c>
      <c r="L35" s="55">
        <f>50025+47850</f>
        <v>97875</v>
      </c>
      <c r="M35" s="57">
        <f>54362+45926+50000</f>
        <v>150288</v>
      </c>
      <c r="N35" s="57">
        <f>52927+50000+48478+50000+50375+34801</f>
        <v>286581</v>
      </c>
      <c r="O35" s="56">
        <f t="shared" si="4"/>
        <v>1409746</v>
      </c>
      <c r="P35" s="58"/>
      <c r="Q35" s="58"/>
      <c r="R35" s="58"/>
      <c r="S35" s="58"/>
      <c r="T35" s="58"/>
    </row>
    <row r="36" spans="1:20" s="10" customFormat="1">
      <c r="A36" s="10">
        <v>86</v>
      </c>
      <c r="B36" s="10" t="s">
        <v>42</v>
      </c>
      <c r="C36" s="57">
        <v>1788</v>
      </c>
      <c r="D36" s="57">
        <f>3228+4171</f>
        <v>7399</v>
      </c>
      <c r="E36" s="57">
        <f>2732+2861</f>
        <v>5593</v>
      </c>
      <c r="F36" s="57">
        <f>6000</f>
        <v>6000</v>
      </c>
      <c r="G36" s="57">
        <f>2483+2980</f>
        <v>5463</v>
      </c>
      <c r="H36" s="55">
        <f>3475+2731+3630+10341</f>
        <v>20177</v>
      </c>
      <c r="I36" s="55"/>
      <c r="J36" s="55"/>
      <c r="K36" s="55"/>
      <c r="L36" s="55"/>
      <c r="M36" s="57"/>
      <c r="N36" s="57"/>
      <c r="O36" s="56">
        <f t="shared" si="4"/>
        <v>46420</v>
      </c>
      <c r="P36" s="58"/>
      <c r="Q36" s="58"/>
      <c r="R36" s="58"/>
      <c r="S36" s="58"/>
      <c r="T36" s="58"/>
    </row>
    <row r="37" spans="1:20" s="10" customFormat="1">
      <c r="B37" s="10" t="s">
        <v>61</v>
      </c>
      <c r="C37" s="57"/>
      <c r="D37" s="57"/>
      <c r="E37" s="57"/>
      <c r="F37" s="57"/>
      <c r="G37" s="57"/>
      <c r="H37" s="55"/>
      <c r="I37" s="55">
        <v>10970</v>
      </c>
      <c r="J37" s="55">
        <f>132258+66078</f>
        <v>198336</v>
      </c>
      <c r="K37" s="55">
        <f>169189</f>
        <v>169189</v>
      </c>
      <c r="L37" s="55">
        <f>60333+172210</f>
        <v>232543</v>
      </c>
      <c r="M37" s="57">
        <f>174970+58870</f>
        <v>233840</v>
      </c>
      <c r="N37" s="57">
        <f>176362+145898</f>
        <v>322260</v>
      </c>
      <c r="O37" s="56">
        <f t="shared" si="4"/>
        <v>1167138</v>
      </c>
      <c r="P37" s="58"/>
      <c r="Q37" s="58"/>
      <c r="R37" s="58"/>
      <c r="S37" s="58"/>
      <c r="T37" s="58"/>
    </row>
    <row r="38" spans="1:20" s="10" customFormat="1">
      <c r="B38" s="10" t="s">
        <v>43</v>
      </c>
      <c r="C38" s="57"/>
      <c r="D38" s="57">
        <v>90000</v>
      </c>
      <c r="E38" s="57">
        <f>170000+20000</f>
        <v>190000</v>
      </c>
      <c r="F38" s="57">
        <v>134800</v>
      </c>
      <c r="G38" s="57">
        <f>180460</f>
        <v>180460</v>
      </c>
      <c r="H38" s="55">
        <v>300000</v>
      </c>
      <c r="I38" s="55">
        <f>86000+165648</f>
        <v>251648</v>
      </c>
      <c r="J38" s="55">
        <f>276000+18790</f>
        <v>294790</v>
      </c>
      <c r="K38" s="55">
        <f>598510+306000</f>
        <v>904510</v>
      </c>
      <c r="L38" s="55">
        <v>200100</v>
      </c>
      <c r="M38" s="57">
        <v>136380</v>
      </c>
      <c r="N38" s="57">
        <f>285200</f>
        <v>285200</v>
      </c>
      <c r="O38" s="56">
        <f t="shared" si="4"/>
        <v>2967888</v>
      </c>
      <c r="P38" s="58"/>
      <c r="Q38" s="58"/>
      <c r="R38" s="58"/>
      <c r="S38" s="58"/>
      <c r="T38" s="58"/>
    </row>
    <row r="39" spans="1:20" s="10" customFormat="1">
      <c r="B39" s="10" t="s">
        <v>45</v>
      </c>
      <c r="C39" s="57">
        <f>36500+35000+1200</f>
        <v>72700</v>
      </c>
      <c r="D39" s="57">
        <v>20000</v>
      </c>
      <c r="E39" s="57">
        <f>1169+10000+63421</f>
        <v>74590</v>
      </c>
      <c r="F39" s="57">
        <v>40000</v>
      </c>
      <c r="G39" s="57">
        <v>40000</v>
      </c>
      <c r="H39" s="55">
        <v>40000</v>
      </c>
      <c r="I39" s="55">
        <f>40000+7037</f>
        <v>47037</v>
      </c>
      <c r="J39" s="55">
        <f>42000+23595</f>
        <v>65595</v>
      </c>
      <c r="K39" s="55">
        <v>40000</v>
      </c>
      <c r="L39" s="55">
        <v>40000</v>
      </c>
      <c r="M39" s="55">
        <v>40000</v>
      </c>
      <c r="N39" s="57">
        <v>4000</v>
      </c>
      <c r="O39" s="56"/>
      <c r="P39" s="58"/>
      <c r="Q39" s="58"/>
      <c r="R39" s="58"/>
      <c r="S39" s="58"/>
      <c r="T39" s="58"/>
    </row>
    <row r="40" spans="1:20" s="59" customFormat="1" ht="17.45" customHeight="1">
      <c r="B40" s="59" t="s">
        <v>29</v>
      </c>
      <c r="C40" s="55">
        <f>14405</f>
        <v>14405</v>
      </c>
      <c r="D40" s="55">
        <f>31370+13509</f>
        <v>44879</v>
      </c>
      <c r="E40" s="55">
        <f>13850</f>
        <v>13850</v>
      </c>
      <c r="F40" s="55">
        <f>17223</f>
        <v>17223</v>
      </c>
      <c r="G40" s="55">
        <f>3481</f>
        <v>3481</v>
      </c>
      <c r="H40" s="55">
        <v>4156</v>
      </c>
      <c r="I40" s="55"/>
      <c r="J40" s="55"/>
      <c r="K40" s="55"/>
      <c r="L40" s="55">
        <v>106000</v>
      </c>
      <c r="M40" s="55"/>
      <c r="N40" s="55"/>
      <c r="O40" s="56">
        <f t="shared" si="4"/>
        <v>203994</v>
      </c>
      <c r="P40" s="60"/>
      <c r="Q40" s="60"/>
      <c r="R40" s="60"/>
      <c r="S40" s="60"/>
      <c r="T40" s="60"/>
    </row>
    <row r="41" spans="1:20" s="12" customFormat="1">
      <c r="A41" s="40"/>
      <c r="B41" s="12" t="s">
        <v>20</v>
      </c>
      <c r="C41" s="13">
        <f>SUM(C33:C40)</f>
        <v>230250</v>
      </c>
      <c r="D41" s="13">
        <f>SUM(D33:D39)</f>
        <v>681995</v>
      </c>
      <c r="E41" s="13">
        <f t="shared" ref="E41:N41" si="5">SUM(E33:E39)</f>
        <v>717340</v>
      </c>
      <c r="F41" s="13">
        <f t="shared" si="5"/>
        <v>633270</v>
      </c>
      <c r="G41" s="13">
        <f t="shared" si="5"/>
        <v>853350</v>
      </c>
      <c r="H41" s="13">
        <f t="shared" si="5"/>
        <v>732059</v>
      </c>
      <c r="I41" s="13">
        <f t="shared" si="5"/>
        <v>607704</v>
      </c>
      <c r="J41" s="13">
        <f t="shared" si="5"/>
        <v>974512</v>
      </c>
      <c r="K41" s="13">
        <f t="shared" si="5"/>
        <v>1329041</v>
      </c>
      <c r="L41" s="13">
        <f t="shared" si="5"/>
        <v>782240</v>
      </c>
      <c r="M41" s="13">
        <f t="shared" si="5"/>
        <v>830043</v>
      </c>
      <c r="N41" s="13">
        <f t="shared" si="5"/>
        <v>981669</v>
      </c>
      <c r="O41" s="13">
        <f>SUM(C41:N41)</f>
        <v>9353473</v>
      </c>
      <c r="P41" s="29"/>
      <c r="Q41" s="29"/>
      <c r="R41" s="29"/>
      <c r="S41" s="29"/>
      <c r="T41" s="29"/>
    </row>
    <row r="42" spans="1:20">
      <c r="D42" s="28">
        <v>300000</v>
      </c>
      <c r="M42" s="28"/>
    </row>
    <row r="43" spans="1:20">
      <c r="D43" s="64">
        <f>D41-$D42</f>
        <v>381995</v>
      </c>
      <c r="E43" s="64">
        <f t="shared" ref="E43:N43" si="6">E41-$D42</f>
        <v>417340</v>
      </c>
      <c r="F43" s="64">
        <f t="shared" si="6"/>
        <v>333270</v>
      </c>
      <c r="G43" s="64">
        <f t="shared" si="6"/>
        <v>553350</v>
      </c>
      <c r="H43" s="64">
        <f t="shared" si="6"/>
        <v>432059</v>
      </c>
      <c r="I43" s="64">
        <f t="shared" si="6"/>
        <v>307704</v>
      </c>
      <c r="J43" s="64">
        <f t="shared" si="6"/>
        <v>674512</v>
      </c>
      <c r="K43" s="64">
        <f t="shared" si="6"/>
        <v>1029041</v>
      </c>
      <c r="L43" s="64">
        <f t="shared" si="6"/>
        <v>482240</v>
      </c>
      <c r="M43" s="64">
        <f t="shared" si="6"/>
        <v>530043</v>
      </c>
      <c r="N43" s="64">
        <f t="shared" si="6"/>
        <v>681669</v>
      </c>
    </row>
    <row r="44" spans="1:20">
      <c r="D44" s="64">
        <f>D41-D21</f>
        <v>420170</v>
      </c>
      <c r="E44" s="64">
        <f t="shared" ref="E44:N44" si="7">E41-E21</f>
        <v>520186</v>
      </c>
      <c r="F44" s="64">
        <f t="shared" si="7"/>
        <v>168847</v>
      </c>
      <c r="G44" s="64">
        <f t="shared" si="7"/>
        <v>582977</v>
      </c>
      <c r="H44" s="64">
        <f t="shared" si="7"/>
        <v>258836</v>
      </c>
      <c r="I44" s="64">
        <f t="shared" si="7"/>
        <v>60872</v>
      </c>
      <c r="J44" s="64">
        <f>J41-J21</f>
        <v>607530</v>
      </c>
      <c r="K44" s="64">
        <f t="shared" si="7"/>
        <v>993900</v>
      </c>
      <c r="L44" s="64">
        <f t="shared" si="7"/>
        <v>302553</v>
      </c>
      <c r="M44" s="64">
        <f t="shared" si="7"/>
        <v>442873</v>
      </c>
      <c r="N44" s="64">
        <f t="shared" si="7"/>
        <v>981669</v>
      </c>
    </row>
    <row r="45" spans="1:20">
      <c r="M45" s="28"/>
    </row>
    <row r="46" spans="1:20">
      <c r="B46" t="s">
        <v>52</v>
      </c>
      <c r="C46" s="63">
        <f>1-C48-C47</f>
        <v>0.25</v>
      </c>
      <c r="D46" s="28">
        <f>D$43*$C46</f>
        <v>95498.75</v>
      </c>
      <c r="E46" s="28">
        <f>E$43*$C46</f>
        <v>104335</v>
      </c>
      <c r="F46" s="28">
        <f>F$43*$C46</f>
        <v>83317.5</v>
      </c>
      <c r="G46" s="28">
        <f>G$43*$C46</f>
        <v>138337.5</v>
      </c>
      <c r="H46" s="28">
        <f>H$43*$C46</f>
        <v>108014.75</v>
      </c>
    </row>
    <row r="47" spans="1:20">
      <c r="B47" t="s">
        <v>31</v>
      </c>
      <c r="C47" s="63">
        <v>0.6</v>
      </c>
      <c r="D47" s="28">
        <f t="shared" ref="D47:H48" si="8">D$43*$C47</f>
        <v>229197</v>
      </c>
      <c r="E47" s="28">
        <f t="shared" si="8"/>
        <v>250404</v>
      </c>
      <c r="F47" s="28">
        <f t="shared" si="8"/>
        <v>199962</v>
      </c>
      <c r="G47" s="28">
        <f t="shared" si="8"/>
        <v>332010</v>
      </c>
      <c r="H47" s="28">
        <f t="shared" si="8"/>
        <v>259235.4</v>
      </c>
    </row>
    <row r="48" spans="1:20">
      <c r="B48" t="s">
        <v>53</v>
      </c>
      <c r="C48" s="63">
        <v>0.15</v>
      </c>
      <c r="D48" s="28">
        <f t="shared" si="8"/>
        <v>57299.25</v>
      </c>
      <c r="E48" s="28">
        <f t="shared" si="8"/>
        <v>62601</v>
      </c>
      <c r="F48" s="28">
        <f t="shared" si="8"/>
        <v>49990.5</v>
      </c>
      <c r="G48" s="28">
        <f t="shared" si="8"/>
        <v>83002.5</v>
      </c>
      <c r="H48" s="28">
        <f t="shared" si="8"/>
        <v>64808.85</v>
      </c>
      <c r="K48" s="28">
        <v>145000</v>
      </c>
    </row>
    <row r="51" spans="3:5">
      <c r="C51" s="28">
        <v>1</v>
      </c>
    </row>
    <row r="52" spans="3:5">
      <c r="C52" s="28">
        <v>2</v>
      </c>
    </row>
    <row r="53" spans="3:5">
      <c r="C53" s="28">
        <v>3</v>
      </c>
      <c r="D53" s="28" t="s">
        <v>57</v>
      </c>
    </row>
    <row r="54" spans="3:5">
      <c r="C54" s="28">
        <v>4</v>
      </c>
      <c r="D54" s="28" t="s">
        <v>54</v>
      </c>
    </row>
    <row r="55" spans="3:5">
      <c r="C55" s="28">
        <v>5</v>
      </c>
      <c r="D55" s="28" t="s">
        <v>54</v>
      </c>
      <c r="E55" s="28" t="s">
        <v>58</v>
      </c>
    </row>
    <row r="56" spans="3:5">
      <c r="C56" s="28">
        <v>6</v>
      </c>
      <c r="D56" s="28" t="s">
        <v>55</v>
      </c>
    </row>
    <row r="57" spans="3:5">
      <c r="C57" s="28">
        <v>7</v>
      </c>
      <c r="D57" s="28" t="s">
        <v>56</v>
      </c>
    </row>
    <row r="58" spans="3:5">
      <c r="C58" s="28">
        <v>8</v>
      </c>
      <c r="D58" s="28" t="s">
        <v>55</v>
      </c>
      <c r="E58" s="28" t="s">
        <v>56</v>
      </c>
    </row>
    <row r="59" spans="3:5">
      <c r="C59" s="28">
        <v>9</v>
      </c>
    </row>
    <row r="60" spans="3:5">
      <c r="C60" s="28">
        <v>10</v>
      </c>
    </row>
    <row r="61" spans="3:5">
      <c r="C61" s="28">
        <v>11</v>
      </c>
    </row>
    <row r="62" spans="3:5">
      <c r="C62" s="28">
        <v>12</v>
      </c>
    </row>
    <row r="63" spans="3:5">
      <c r="C63" s="28">
        <v>13</v>
      </c>
    </row>
    <row r="64" spans="3:5">
      <c r="C64" s="28">
        <v>14</v>
      </c>
    </row>
    <row r="65" spans="3:4">
      <c r="C65" s="28">
        <v>15</v>
      </c>
      <c r="D65" s="28" t="s">
        <v>59</v>
      </c>
    </row>
    <row r="66" spans="3:4">
      <c r="C66" s="28">
        <v>16</v>
      </c>
    </row>
    <row r="67" spans="3:4">
      <c r="C67" s="28">
        <v>17</v>
      </c>
      <c r="D67" s="28" t="s">
        <v>59</v>
      </c>
    </row>
    <row r="68" spans="3:4">
      <c r="C68" s="28">
        <v>18</v>
      </c>
      <c r="D68" s="28" t="s">
        <v>54</v>
      </c>
    </row>
    <row r="69" spans="3:4">
      <c r="C69" s="28">
        <v>19</v>
      </c>
    </row>
    <row r="70" spans="3:4">
      <c r="C70" s="28">
        <v>20</v>
      </c>
      <c r="D70" s="28" t="s">
        <v>54</v>
      </c>
    </row>
    <row r="71" spans="3:4">
      <c r="C71" s="28">
        <v>21</v>
      </c>
      <c r="D71" s="28" t="s">
        <v>56</v>
      </c>
    </row>
    <row r="72" spans="3:4">
      <c r="C72" s="28">
        <v>22</v>
      </c>
    </row>
    <row r="73" spans="3:4">
      <c r="C73" s="28">
        <v>23</v>
      </c>
      <c r="D73" s="28" t="s">
        <v>56</v>
      </c>
    </row>
    <row r="74" spans="3:4">
      <c r="C74" s="28">
        <v>24</v>
      </c>
      <c r="D74" s="28" t="s">
        <v>55</v>
      </c>
    </row>
    <row r="75" spans="3:4">
      <c r="C75" s="28">
        <v>25</v>
      </c>
      <c r="D75" s="28" t="s">
        <v>55</v>
      </c>
    </row>
    <row r="76" spans="3:4">
      <c r="C76" s="28">
        <v>26</v>
      </c>
    </row>
    <row r="77" spans="3:4">
      <c r="C77" s="28">
        <v>27</v>
      </c>
      <c r="D77" s="28" t="s">
        <v>57</v>
      </c>
    </row>
    <row r="78" spans="3:4">
      <c r="C78" s="28">
        <v>28</v>
      </c>
    </row>
    <row r="79" spans="3:4">
      <c r="C79" s="28">
        <v>29</v>
      </c>
    </row>
    <row r="80" spans="3:4">
      <c r="C80" s="28">
        <v>30</v>
      </c>
      <c r="D80" s="28" t="s">
        <v>59</v>
      </c>
    </row>
    <row r="81" spans="3:4">
      <c r="C81" s="28">
        <v>31</v>
      </c>
      <c r="D81" s="28" t="s">
        <v>59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XFD45"/>
  <sheetViews>
    <sheetView zoomScaleNormal="100" workbookViewId="0">
      <pane xSplit="2" ySplit="1" topLeftCell="C28" activePane="bottomRight" state="frozen"/>
      <selection pane="topRight" activeCell="C1" sqref="C1"/>
      <selection pane="bottomLeft" activeCell="A2" sqref="A2"/>
      <selection pane="bottomRight" activeCell="N36" sqref="N36"/>
    </sheetView>
  </sheetViews>
  <sheetFormatPr defaultRowHeight="15" outlineLevelCol="1"/>
  <cols>
    <col min="1" max="1" width="8.7109375" style="10"/>
    <col min="2" max="2" width="47.42578125" customWidth="1"/>
    <col min="3" max="3" width="14.140625" style="28" hidden="1" customWidth="1" outlineLevel="1"/>
    <col min="4" max="4" width="11.5703125" style="28" hidden="1" customWidth="1" outlineLevel="1"/>
    <col min="5" max="5" width="10.5703125" style="28" hidden="1" customWidth="1" outlineLevel="1"/>
    <col min="6" max="6" width="10" style="28" hidden="1" customWidth="1" outlineLevel="1"/>
    <col min="7" max="7" width="9.85546875" style="28" bestFit="1" customWidth="1" collapsed="1"/>
    <col min="8" max="8" width="9.5703125" style="28" bestFit="1" customWidth="1"/>
    <col min="9" max="9" width="11" style="28" bestFit="1" customWidth="1"/>
    <col min="10" max="10" width="9.5703125" style="28" bestFit="1" customWidth="1"/>
    <col min="11" max="12" width="10.28515625" style="28" bestFit="1" customWidth="1"/>
    <col min="13" max="13" width="10.28515625" style="11" bestFit="1" customWidth="1"/>
    <col min="14" max="14" width="10.28515625" style="28" bestFit="1" customWidth="1"/>
    <col min="15" max="15" width="10.7109375" style="28" customWidth="1"/>
    <col min="16" max="16" width="10.42578125" style="11" customWidth="1"/>
    <col min="17" max="20" width="8.7109375" style="11"/>
  </cols>
  <sheetData>
    <row r="1" spans="1:69" s="38" customFormat="1">
      <c r="A1" s="39"/>
      <c r="B1" s="36"/>
      <c r="C1" s="37" t="s">
        <v>1</v>
      </c>
      <c r="D1" s="37" t="s">
        <v>2</v>
      </c>
      <c r="E1" s="37" t="s">
        <v>3</v>
      </c>
      <c r="F1" s="37" t="s">
        <v>4</v>
      </c>
      <c r="G1" s="37" t="s">
        <v>5</v>
      </c>
      <c r="H1" s="37" t="s">
        <v>6</v>
      </c>
      <c r="I1" s="37" t="s">
        <v>7</v>
      </c>
      <c r="J1" s="37" t="s">
        <v>8</v>
      </c>
      <c r="K1" s="37" t="s">
        <v>9</v>
      </c>
      <c r="L1" s="37" t="s">
        <v>10</v>
      </c>
      <c r="M1" s="37" t="s">
        <v>11</v>
      </c>
      <c r="N1" s="37" t="s">
        <v>12</v>
      </c>
      <c r="O1" s="37" t="s">
        <v>26</v>
      </c>
      <c r="P1" s="37"/>
      <c r="Q1" s="37"/>
      <c r="R1" s="37"/>
      <c r="S1" s="37"/>
      <c r="T1" s="37"/>
    </row>
    <row r="2" spans="1:69" s="1" customFormat="1">
      <c r="A2" s="10"/>
      <c r="B2" s="19" t="s">
        <v>0</v>
      </c>
      <c r="C2" s="20"/>
      <c r="D2" s="20"/>
      <c r="E2" s="20"/>
      <c r="F2" s="20"/>
      <c r="G2" s="20"/>
      <c r="H2" s="20"/>
      <c r="I2" s="20">
        <v>24000</v>
      </c>
      <c r="J2" s="20">
        <v>24000</v>
      </c>
      <c r="K2" s="20">
        <v>24000</v>
      </c>
      <c r="L2" s="46">
        <v>48000</v>
      </c>
      <c r="M2" s="20">
        <v>24000</v>
      </c>
      <c r="N2" s="20">
        <v>48000</v>
      </c>
      <c r="O2" s="20">
        <f>SUM(C2:N2)</f>
        <v>192000</v>
      </c>
      <c r="P2" s="20"/>
      <c r="Q2" s="20"/>
      <c r="R2" s="20"/>
      <c r="S2" s="20"/>
      <c r="T2" s="20"/>
    </row>
    <row r="3" spans="1:69" ht="15" customHeight="1">
      <c r="B3" s="18" t="s">
        <v>27</v>
      </c>
      <c r="C3" s="14"/>
      <c r="D3" s="14"/>
      <c r="E3" s="14"/>
      <c r="F3" s="14"/>
      <c r="G3" s="14">
        <v>24031</v>
      </c>
      <c r="H3" s="14">
        <v>27306</v>
      </c>
      <c r="I3" s="14">
        <v>30043</v>
      </c>
      <c r="J3" s="14">
        <v>27281</v>
      </c>
      <c r="K3" s="14">
        <v>29517</v>
      </c>
      <c r="L3" s="14">
        <v>25036</v>
      </c>
      <c r="M3" s="14">
        <f>26074</f>
        <v>26074</v>
      </c>
      <c r="N3" s="14">
        <v>39480</v>
      </c>
      <c r="O3" s="14">
        <f t="shared" ref="O3:O16" si="0">SUM(C3:N3)</f>
        <v>228768</v>
      </c>
      <c r="P3" s="14"/>
      <c r="Q3" s="14"/>
      <c r="R3" s="14"/>
      <c r="S3" s="14"/>
      <c r="T3" s="14"/>
    </row>
    <row r="4" spans="1:69" s="1" customFormat="1">
      <c r="A4" s="10"/>
      <c r="B4" s="19" t="s">
        <v>31</v>
      </c>
      <c r="C4" s="20"/>
      <c r="D4" s="20"/>
      <c r="E4" s="20"/>
      <c r="F4" s="20"/>
      <c r="G4" s="20">
        <v>66000</v>
      </c>
      <c r="H4" s="20">
        <v>66000</v>
      </c>
      <c r="I4" s="20">
        <v>66000</v>
      </c>
      <c r="J4" s="20">
        <v>66000</v>
      </c>
      <c r="K4" s="20">
        <v>66000</v>
      </c>
      <c r="L4" s="20">
        <v>66000</v>
      </c>
      <c r="M4" s="20">
        <v>65000</v>
      </c>
      <c r="N4" s="20">
        <v>65000</v>
      </c>
      <c r="O4" s="46">
        <f t="shared" si="0"/>
        <v>526000</v>
      </c>
      <c r="P4" s="20"/>
      <c r="Q4" s="20"/>
      <c r="R4" s="20"/>
      <c r="S4" s="20"/>
      <c r="T4" s="20"/>
    </row>
    <row r="5" spans="1:69" ht="15.6" customHeight="1">
      <c r="B5" s="18" t="s">
        <v>32</v>
      </c>
      <c r="C5" s="14"/>
      <c r="D5" s="14"/>
      <c r="E5" s="14"/>
      <c r="F5" s="14"/>
      <c r="G5" s="14">
        <f>7402+1285+250</f>
        <v>8937</v>
      </c>
      <c r="H5" s="14">
        <f>9305+1235+400</f>
        <v>10940</v>
      </c>
      <c r="I5" s="14">
        <f>4549+2800+992+7942</f>
        <v>16283</v>
      </c>
      <c r="J5" s="14">
        <f>12279+2132+1849</f>
        <v>16260</v>
      </c>
      <c r="K5" s="14">
        <v>11572</v>
      </c>
      <c r="L5" s="14">
        <f>9184+8128+1000+1057</f>
        <v>19369</v>
      </c>
      <c r="M5" s="14">
        <f>150+500+1082+1546+3170+8765</f>
        <v>15213</v>
      </c>
      <c r="N5" s="14">
        <f>9320+10359+200+1819</f>
        <v>21698</v>
      </c>
      <c r="O5" s="14">
        <f t="shared" si="0"/>
        <v>120272</v>
      </c>
      <c r="P5" s="14"/>
      <c r="Q5" s="14"/>
      <c r="R5" s="14"/>
      <c r="S5" s="14"/>
      <c r="T5" s="14"/>
    </row>
    <row r="6" spans="1:69" s="1" customFormat="1">
      <c r="A6" s="10"/>
      <c r="B6" s="30" t="s">
        <v>28</v>
      </c>
      <c r="C6" s="20"/>
      <c r="D6" s="20"/>
      <c r="E6" s="20"/>
      <c r="F6" s="20"/>
      <c r="G6" s="20">
        <f>6156</f>
        <v>6156</v>
      </c>
      <c r="H6" s="20">
        <f>21065-1600-3226-11102-1350</f>
        <v>3787</v>
      </c>
      <c r="I6" s="20">
        <f>310+225+418+170+470+670+396+620</f>
        <v>3279</v>
      </c>
      <c r="J6" s="20">
        <f>9000+1200</f>
        <v>10200</v>
      </c>
      <c r="K6" s="20">
        <f>19000-4700-4700</f>
        <v>9600</v>
      </c>
      <c r="L6" s="20">
        <f>7100-3280</f>
        <v>3820</v>
      </c>
      <c r="M6" s="20">
        <f>348+538</f>
        <v>886</v>
      </c>
      <c r="N6" s="20">
        <v>780</v>
      </c>
      <c r="O6" s="20">
        <f t="shared" si="0"/>
        <v>38508</v>
      </c>
      <c r="P6" s="20"/>
      <c r="Q6" s="20"/>
      <c r="R6" s="20"/>
      <c r="S6" s="20"/>
      <c r="T6" s="20"/>
    </row>
    <row r="7" spans="1:69" s="10" customFormat="1">
      <c r="B7" s="21" t="s">
        <v>15</v>
      </c>
      <c r="C7" s="22"/>
      <c r="D7" s="22"/>
      <c r="E7" s="22"/>
      <c r="F7" s="22"/>
      <c r="G7" s="22">
        <v>16900</v>
      </c>
      <c r="H7" s="22"/>
      <c r="I7" s="22"/>
      <c r="J7" s="22"/>
      <c r="K7" s="22">
        <v>17082</v>
      </c>
      <c r="L7" s="22">
        <v>1800</v>
      </c>
      <c r="M7" s="22">
        <f>8972</f>
        <v>8972</v>
      </c>
      <c r="N7" s="22">
        <v>7778</v>
      </c>
      <c r="O7" s="22">
        <f t="shared" si="0"/>
        <v>52532</v>
      </c>
      <c r="P7" s="22"/>
      <c r="Q7" s="22"/>
      <c r="R7" s="22"/>
      <c r="S7" s="22"/>
      <c r="T7" s="22"/>
    </row>
    <row r="8" spans="1:69" s="30" customFormat="1">
      <c r="A8" s="41"/>
      <c r="B8" s="30" t="s">
        <v>34</v>
      </c>
      <c r="C8" s="20"/>
      <c r="G8" s="43">
        <v>10000</v>
      </c>
      <c r="H8" s="43">
        <v>10000</v>
      </c>
      <c r="I8" s="44">
        <v>10000</v>
      </c>
      <c r="J8" s="43"/>
      <c r="K8" s="43">
        <v>20000</v>
      </c>
      <c r="L8" s="45">
        <v>15000</v>
      </c>
      <c r="M8" s="45">
        <v>15000</v>
      </c>
      <c r="N8" s="43">
        <v>15000</v>
      </c>
      <c r="O8" s="20">
        <f t="shared" si="0"/>
        <v>95000</v>
      </c>
    </row>
    <row r="9" spans="1:69" s="10" customFormat="1">
      <c r="B9" s="21" t="s">
        <v>38</v>
      </c>
      <c r="C9" s="16"/>
      <c r="D9" s="16"/>
      <c r="E9" s="16"/>
      <c r="F9" s="16"/>
      <c r="G9" s="16"/>
      <c r="H9" s="16"/>
      <c r="I9" s="16"/>
      <c r="J9" s="16"/>
      <c r="K9" s="16"/>
      <c r="L9" s="16">
        <f>3000</f>
        <v>3000</v>
      </c>
      <c r="M9" s="16">
        <v>23000</v>
      </c>
      <c r="N9" s="16">
        <v>15000</v>
      </c>
      <c r="O9" s="16">
        <f t="shared" si="0"/>
        <v>41000</v>
      </c>
      <c r="P9" s="24"/>
      <c r="Q9" s="24"/>
      <c r="R9" s="24"/>
      <c r="S9" s="24"/>
      <c r="T9" s="24"/>
    </row>
    <row r="10" spans="1:69" s="1" customFormat="1">
      <c r="A10" s="10"/>
      <c r="B10" s="19" t="s">
        <v>13</v>
      </c>
      <c r="C10" s="15"/>
      <c r="D10" s="15"/>
      <c r="E10" s="15"/>
      <c r="F10" s="15"/>
      <c r="G10" s="15"/>
      <c r="H10" s="15"/>
      <c r="I10" s="15">
        <v>35000</v>
      </c>
      <c r="J10" s="15"/>
      <c r="K10" s="15"/>
      <c r="L10" s="15">
        <f>12615+10100</f>
        <v>22715</v>
      </c>
      <c r="M10" s="15">
        <f>269+411+161+2920+478+50+3180</f>
        <v>7469</v>
      </c>
      <c r="N10" s="15"/>
      <c r="O10" s="15">
        <f t="shared" si="0"/>
        <v>65184</v>
      </c>
      <c r="P10" s="23"/>
      <c r="Q10" s="23"/>
      <c r="R10" s="23"/>
      <c r="S10" s="23"/>
      <c r="T10" s="23"/>
    </row>
    <row r="11" spans="1:69" s="10" customFormat="1">
      <c r="B11" s="21" t="s">
        <v>30</v>
      </c>
      <c r="C11" s="16"/>
      <c r="D11" s="16"/>
      <c r="E11" s="16"/>
      <c r="F11" s="16"/>
      <c r="G11" s="16">
        <v>3197</v>
      </c>
      <c r="H11" s="16">
        <f>4322</f>
        <v>4322</v>
      </c>
      <c r="I11" s="16">
        <f>4996</f>
        <v>4996</v>
      </c>
      <c r="J11" s="16">
        <f>453+3032</f>
        <v>3485</v>
      </c>
      <c r="K11" s="16"/>
      <c r="L11" s="16">
        <v>13196</v>
      </c>
      <c r="M11" s="16"/>
      <c r="N11" s="16">
        <f>4955+1400+1088</f>
        <v>7443</v>
      </c>
      <c r="O11" s="16">
        <f t="shared" si="0"/>
        <v>36639</v>
      </c>
      <c r="P11" s="24"/>
      <c r="Q11" s="24"/>
      <c r="R11" s="24"/>
      <c r="S11" s="24"/>
      <c r="T11" s="24"/>
    </row>
    <row r="12" spans="1:69" s="4" customFormat="1">
      <c r="A12" s="5"/>
      <c r="B12" s="19" t="s">
        <v>16</v>
      </c>
      <c r="C12" s="15"/>
      <c r="D12" s="15"/>
      <c r="E12" s="15"/>
      <c r="F12" s="15"/>
      <c r="G12" s="15"/>
      <c r="H12" s="15"/>
      <c r="I12" s="15"/>
      <c r="J12" s="15"/>
      <c r="K12" s="15">
        <f>2480</f>
        <v>2480</v>
      </c>
      <c r="L12" s="15">
        <f>3300+3387</f>
        <v>6687</v>
      </c>
      <c r="M12" s="15">
        <f>13000</f>
        <v>13000</v>
      </c>
      <c r="N12" s="15">
        <f>1766+6442+945+5059+4859+387+5129+2816+2000</f>
        <v>29403</v>
      </c>
      <c r="O12" s="15">
        <f t="shared" si="0"/>
        <v>51570</v>
      </c>
      <c r="P12" s="23"/>
      <c r="Q12" s="23"/>
      <c r="R12" s="23"/>
      <c r="S12" s="23"/>
      <c r="T12" s="23"/>
    </row>
    <row r="13" spans="1:69" s="5" customFormat="1">
      <c r="B13" s="21" t="s">
        <v>17</v>
      </c>
      <c r="C13" s="16"/>
      <c r="D13" s="16"/>
      <c r="E13" s="16"/>
      <c r="F13" s="16"/>
      <c r="G13" s="16">
        <f>656</f>
        <v>656</v>
      </c>
      <c r="H13" s="16">
        <v>1000</v>
      </c>
      <c r="I13" s="16"/>
      <c r="J13" s="16">
        <v>650</v>
      </c>
      <c r="K13" s="16">
        <v>800</v>
      </c>
      <c r="L13" s="16">
        <v>1200</v>
      </c>
      <c r="M13" s="16">
        <f>800+650+400</f>
        <v>1850</v>
      </c>
      <c r="N13" s="16">
        <v>800</v>
      </c>
      <c r="O13" s="16">
        <f t="shared" si="0"/>
        <v>6956</v>
      </c>
      <c r="P13" s="24"/>
      <c r="Q13" s="24"/>
      <c r="R13" s="24"/>
      <c r="S13" s="24"/>
      <c r="T13" s="24"/>
    </row>
    <row r="14" spans="1:69" s="4" customFormat="1">
      <c r="A14" s="5"/>
      <c r="B14" s="19" t="s">
        <v>35</v>
      </c>
      <c r="C14" s="15"/>
      <c r="D14" s="15"/>
      <c r="E14" s="15"/>
      <c r="F14" s="15"/>
      <c r="G14" s="15">
        <f>2100+3500</f>
        <v>5600</v>
      </c>
      <c r="H14" s="15">
        <f>8969+6210+1600+3226+11102+1350</f>
        <v>32457</v>
      </c>
      <c r="I14" s="15">
        <f>5310+3972+30421-3279</f>
        <v>36424</v>
      </c>
      <c r="J14" s="15">
        <f>1250+300+121+3000</f>
        <v>4671</v>
      </c>
      <c r="K14" s="15">
        <v>9491</v>
      </c>
      <c r="L14" s="15">
        <f>1152+5000+3280+3980+1100</f>
        <v>14512</v>
      </c>
      <c r="M14" s="15">
        <f>2000</f>
        <v>2000</v>
      </c>
      <c r="N14" s="15">
        <f>12456</f>
        <v>12456</v>
      </c>
      <c r="O14" s="15">
        <f t="shared" si="0"/>
        <v>117611</v>
      </c>
      <c r="P14" s="23"/>
      <c r="Q14" s="23"/>
      <c r="R14" s="23"/>
      <c r="S14" s="23"/>
      <c r="T14" s="23"/>
    </row>
    <row r="15" spans="1:69" s="4" customFormat="1">
      <c r="A15" s="5"/>
      <c r="B15" s="21" t="s">
        <v>47</v>
      </c>
      <c r="C15" s="16"/>
      <c r="D15" s="16"/>
      <c r="E15" s="16"/>
      <c r="F15" s="16"/>
      <c r="G15" s="16"/>
      <c r="H15" s="16">
        <v>1500</v>
      </c>
      <c r="I15" s="16">
        <f>3000+1500</f>
        <v>4500</v>
      </c>
      <c r="J15" s="16">
        <f>7500</f>
        <v>7500</v>
      </c>
      <c r="K15" s="16">
        <v>3000</v>
      </c>
      <c r="L15" s="16"/>
      <c r="M15" s="16">
        <f>3700</f>
        <v>3700</v>
      </c>
      <c r="N15" s="16">
        <v>8700</v>
      </c>
      <c r="O15" s="16">
        <f t="shared" si="0"/>
        <v>28900</v>
      </c>
      <c r="P15" s="24"/>
      <c r="Q15" s="24"/>
      <c r="R15" s="24"/>
      <c r="S15" s="24"/>
      <c r="T15" s="24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</row>
    <row r="16" spans="1:69" s="5" customFormat="1" ht="13.5" customHeight="1">
      <c r="B16" s="19" t="s">
        <v>21</v>
      </c>
      <c r="C16" s="15"/>
      <c r="D16" s="15"/>
      <c r="E16" s="15"/>
      <c r="F16" s="15"/>
      <c r="G16" s="15">
        <f>4026+1725+656+500+300+85+1200</f>
        <v>8492</v>
      </c>
      <c r="H16" s="15">
        <f>755+783+1000+1500+3007+3500+5832+18000+3600</f>
        <v>37977</v>
      </c>
      <c r="I16" s="15">
        <f>4000+3500+6000+1500+20000+32000+8800</f>
        <v>75800</v>
      </c>
      <c r="J16" s="15">
        <f>1400+5900+4365</f>
        <v>11665</v>
      </c>
      <c r="K16" s="15">
        <f>23000-3700</f>
        <v>19300</v>
      </c>
      <c r="L16" s="15">
        <f>1243+8380+3900+289+550+1943+500</f>
        <v>16805</v>
      </c>
      <c r="M16" s="15">
        <f>1638+20000+1342+1920-986</f>
        <v>23914</v>
      </c>
      <c r="N16" s="15">
        <f>15530+2000+128+1000</f>
        <v>18658</v>
      </c>
      <c r="O16" s="15">
        <f t="shared" si="0"/>
        <v>212611</v>
      </c>
      <c r="P16" s="23"/>
      <c r="Q16" s="23"/>
      <c r="R16" s="23"/>
      <c r="S16" s="23"/>
      <c r="T16" s="23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 spans="1:20 16384:16384" s="2" customFormat="1">
      <c r="A17" s="39"/>
      <c r="B17" s="2" t="s">
        <v>14</v>
      </c>
      <c r="C17" s="3">
        <f t="shared" ref="C17:O17" si="1">SUM(C2:C16)</f>
        <v>0</v>
      </c>
      <c r="D17" s="3">
        <f t="shared" si="1"/>
        <v>0</v>
      </c>
      <c r="E17" s="3">
        <f t="shared" si="1"/>
        <v>0</v>
      </c>
      <c r="F17" s="3">
        <f t="shared" si="1"/>
        <v>0</v>
      </c>
      <c r="G17" s="3">
        <f t="shared" si="1"/>
        <v>149969</v>
      </c>
      <c r="H17" s="3">
        <f t="shared" si="1"/>
        <v>195289</v>
      </c>
      <c r="I17" s="3">
        <f t="shared" si="1"/>
        <v>306325</v>
      </c>
      <c r="J17" s="3">
        <f t="shared" si="1"/>
        <v>171712</v>
      </c>
      <c r="K17" s="3">
        <f t="shared" si="1"/>
        <v>212842</v>
      </c>
      <c r="L17" s="3">
        <f t="shared" si="1"/>
        <v>257140</v>
      </c>
      <c r="M17" s="3">
        <f>SUM(M2:M8,M10:M16)</f>
        <v>207078</v>
      </c>
      <c r="N17" s="3">
        <f t="shared" si="1"/>
        <v>290196</v>
      </c>
      <c r="O17" s="3">
        <f t="shared" si="1"/>
        <v>1813551</v>
      </c>
      <c r="P17" s="25"/>
      <c r="Q17" s="25"/>
      <c r="R17" s="25"/>
      <c r="S17" s="25"/>
      <c r="T17" s="25"/>
    </row>
    <row r="18" spans="1:20 16384:16384" s="7" customFormat="1">
      <c r="A18" s="10"/>
      <c r="B18" s="6" t="s">
        <v>18</v>
      </c>
      <c r="C18" s="8"/>
      <c r="D18" s="8"/>
      <c r="E18" s="8"/>
      <c r="F18" s="8"/>
      <c r="G18" s="8"/>
      <c r="H18" s="8"/>
      <c r="I18" s="8"/>
      <c r="J18" s="8"/>
      <c r="K18" s="8">
        <v>20000</v>
      </c>
      <c r="L18" s="8">
        <v>20000</v>
      </c>
      <c r="M18" s="8">
        <v>20000</v>
      </c>
      <c r="N18" s="8">
        <v>20000</v>
      </c>
      <c r="O18" s="8"/>
      <c r="P18" s="26"/>
      <c r="Q18" s="26"/>
      <c r="R18" s="26"/>
      <c r="S18" s="26"/>
      <c r="T18" s="26"/>
    </row>
    <row r="19" spans="1:20 16384:16384" s="7" customFormat="1">
      <c r="A19" s="10"/>
      <c r="B19" s="6" t="s">
        <v>46</v>
      </c>
      <c r="C19" s="8"/>
      <c r="D19" s="8"/>
      <c r="E19" s="8"/>
      <c r="F19" s="8"/>
      <c r="G19" s="8"/>
      <c r="H19" s="8"/>
      <c r="I19" s="8"/>
      <c r="J19" s="8"/>
      <c r="K19" s="8">
        <v>1220</v>
      </c>
      <c r="L19" s="8">
        <v>1220</v>
      </c>
      <c r="M19" s="8">
        <v>1220</v>
      </c>
      <c r="N19" s="8">
        <v>1220</v>
      </c>
      <c r="O19" s="8"/>
      <c r="P19" s="26"/>
      <c r="Q19" s="26"/>
      <c r="R19" s="26"/>
      <c r="S19" s="26"/>
      <c r="T19" s="26"/>
    </row>
    <row r="20" spans="1:20 16384:16384" s="2" customFormat="1">
      <c r="A20" s="39"/>
      <c r="B20" s="35" t="s">
        <v>23</v>
      </c>
      <c r="C20" s="42">
        <v>45326</v>
      </c>
      <c r="D20" s="42">
        <v>45355</v>
      </c>
      <c r="E20" s="42">
        <v>45383</v>
      </c>
      <c r="F20" s="42">
        <v>45414</v>
      </c>
      <c r="G20" s="42"/>
      <c r="H20" s="42"/>
      <c r="I20" s="42"/>
      <c r="J20" s="42"/>
      <c r="K20" s="42">
        <v>45578</v>
      </c>
      <c r="L20" s="42">
        <v>45600</v>
      </c>
      <c r="M20" s="42">
        <v>45626</v>
      </c>
      <c r="N20" s="42">
        <v>45658</v>
      </c>
      <c r="O20" s="3"/>
      <c r="P20" s="25"/>
      <c r="Q20" s="25"/>
      <c r="R20" s="25"/>
      <c r="S20" s="25"/>
      <c r="T20" s="25"/>
    </row>
    <row r="21" spans="1:20 16384:16384" s="7" customFormat="1">
      <c r="A21" s="10"/>
      <c r="B21" s="6" t="s">
        <v>24</v>
      </c>
      <c r="C21" s="8"/>
      <c r="D21" s="8"/>
      <c r="E21" s="8"/>
      <c r="F21" s="8"/>
      <c r="G21" s="8"/>
      <c r="H21" s="8"/>
      <c r="I21" s="8"/>
      <c r="J21" s="8"/>
      <c r="K21" s="8"/>
      <c r="L21" s="8">
        <f>262865</f>
        <v>262865</v>
      </c>
      <c r="M21" s="8">
        <v>187298</v>
      </c>
      <c r="N21" s="8">
        <v>80330</v>
      </c>
      <c r="O21" s="8"/>
      <c r="P21" s="26"/>
      <c r="Q21" s="26"/>
      <c r="R21" s="26"/>
      <c r="S21" s="26"/>
      <c r="T21" s="26"/>
    </row>
    <row r="22" spans="1:20 16384:16384" s="7" customFormat="1">
      <c r="A22" s="10"/>
      <c r="B22" s="6" t="s">
        <v>33</v>
      </c>
      <c r="C22" s="8"/>
      <c r="D22" s="8"/>
      <c r="E22" s="8"/>
      <c r="F22" s="8"/>
      <c r="G22" s="8"/>
      <c r="H22" s="8"/>
      <c r="I22" s="8"/>
      <c r="J22" s="8"/>
      <c r="K22" s="8">
        <v>41000</v>
      </c>
      <c r="L22" s="8">
        <v>6274</v>
      </c>
      <c r="M22" s="8">
        <v>47727</v>
      </c>
      <c r="N22" s="8">
        <v>188000</v>
      </c>
      <c r="O22" s="8"/>
      <c r="P22" s="26"/>
      <c r="Q22" s="26"/>
      <c r="R22" s="26"/>
      <c r="S22" s="26"/>
      <c r="T22" s="26"/>
    </row>
    <row r="23" spans="1:20 16384:16384" s="7" customFormat="1">
      <c r="A23" s="10"/>
      <c r="B23" s="6" t="s">
        <v>36</v>
      </c>
      <c r="C23" s="8"/>
      <c r="D23" s="8"/>
      <c r="E23" s="8"/>
      <c r="F23" s="8"/>
      <c r="G23" s="8"/>
      <c r="H23" s="8"/>
      <c r="I23" s="8"/>
      <c r="J23" s="8"/>
      <c r="K23" s="8">
        <v>1002805</v>
      </c>
      <c r="L23" s="8">
        <v>1002805</v>
      </c>
      <c r="M23" s="8">
        <v>1002805</v>
      </c>
      <c r="N23" s="8">
        <v>1002805</v>
      </c>
      <c r="O23" s="8"/>
      <c r="P23" s="26"/>
      <c r="Q23" s="26"/>
      <c r="R23" s="26"/>
      <c r="S23" s="26"/>
      <c r="T23" s="26"/>
    </row>
    <row r="24" spans="1:20 16384:16384" s="7" customFormat="1">
      <c r="A24" s="10"/>
      <c r="B24" s="6" t="s">
        <v>48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>
        <v>600000</v>
      </c>
      <c r="N24" s="8">
        <v>600000</v>
      </c>
      <c r="O24" s="8"/>
      <c r="P24" s="26"/>
      <c r="Q24" s="26"/>
      <c r="R24" s="26"/>
      <c r="S24" s="26"/>
      <c r="T24" s="26"/>
    </row>
    <row r="25" spans="1:20 16384:16384" s="7" customFormat="1">
      <c r="A25" s="10"/>
      <c r="B25" s="6" t="s">
        <v>37</v>
      </c>
      <c r="C25" s="8"/>
      <c r="D25" s="8"/>
      <c r="E25" s="8"/>
      <c r="F25" s="8"/>
      <c r="G25" s="8"/>
      <c r="H25" s="8"/>
      <c r="I25" s="8"/>
      <c r="J25" s="8"/>
      <c r="K25" s="8">
        <v>956000</v>
      </c>
      <c r="L25" s="8">
        <v>967914</v>
      </c>
      <c r="M25" s="8">
        <v>715840</v>
      </c>
      <c r="N25" s="8">
        <v>997683</v>
      </c>
      <c r="O25" s="8"/>
      <c r="P25" s="26"/>
      <c r="Q25" s="26"/>
      <c r="R25" s="26"/>
      <c r="S25" s="26"/>
      <c r="T25" s="26"/>
      <c r="XFD25" s="8" t="s">
        <v>25</v>
      </c>
    </row>
    <row r="26" spans="1:20 16384:16384" s="7" customFormat="1">
      <c r="A26" s="10"/>
      <c r="B26" s="6" t="s">
        <v>38</v>
      </c>
      <c r="C26" s="8"/>
      <c r="D26" s="8"/>
      <c r="E26" s="8"/>
      <c r="F26" s="8"/>
      <c r="G26" s="8"/>
      <c r="H26" s="8"/>
      <c r="I26" s="8"/>
      <c r="J26" s="8"/>
      <c r="K26" s="8">
        <v>11500</v>
      </c>
      <c r="L26" s="8">
        <v>12162</v>
      </c>
      <c r="M26" s="8">
        <v>34523</v>
      </c>
      <c r="N26" s="8">
        <v>472757</v>
      </c>
      <c r="O26" s="8"/>
      <c r="P26" s="26"/>
      <c r="Q26" s="26"/>
      <c r="R26" s="26"/>
      <c r="S26" s="26"/>
      <c r="T26" s="26"/>
    </row>
    <row r="27" spans="1:20 16384:16384" s="34" customFormat="1">
      <c r="A27" s="10"/>
      <c r="B27" s="31" t="s">
        <v>22</v>
      </c>
      <c r="C27" s="32">
        <f t="shared" ref="C27:N27" si="2">C18+SUM(C21:C26)</f>
        <v>0</v>
      </c>
      <c r="D27" s="32">
        <f t="shared" si="2"/>
        <v>0</v>
      </c>
      <c r="E27" s="32">
        <f t="shared" si="2"/>
        <v>0</v>
      </c>
      <c r="F27" s="32">
        <f t="shared" si="2"/>
        <v>0</v>
      </c>
      <c r="G27" s="32">
        <f t="shared" si="2"/>
        <v>0</v>
      </c>
      <c r="H27" s="32">
        <f t="shared" si="2"/>
        <v>0</v>
      </c>
      <c r="I27" s="32">
        <f t="shared" si="2"/>
        <v>0</v>
      </c>
      <c r="J27" s="32">
        <f t="shared" si="2"/>
        <v>0</v>
      </c>
      <c r="K27" s="32">
        <f t="shared" si="2"/>
        <v>2031305</v>
      </c>
      <c r="L27" s="32">
        <f t="shared" si="2"/>
        <v>2272020</v>
      </c>
      <c r="M27" s="32">
        <f t="shared" si="2"/>
        <v>2608193</v>
      </c>
      <c r="N27" s="32">
        <f t="shared" si="2"/>
        <v>3361575</v>
      </c>
      <c r="O27" s="32" t="e">
        <f>O18+#REF!+O21+O22+O23+O26</f>
        <v>#REF!</v>
      </c>
      <c r="P27" s="32" t="e">
        <f>P18+#REF!+P21+P22+P23+P26</f>
        <v>#REF!</v>
      </c>
      <c r="Q27" s="33"/>
      <c r="R27" s="33"/>
      <c r="S27" s="33"/>
      <c r="T27" s="33"/>
    </row>
    <row r="28" spans="1:20 16384:16384" s="9" customFormat="1">
      <c r="A28" s="10"/>
      <c r="B28" s="9" t="s">
        <v>19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17"/>
      <c r="N28" s="27"/>
      <c r="O28" s="27"/>
      <c r="P28" s="17"/>
      <c r="Q28" s="17"/>
      <c r="R28" s="17"/>
      <c r="S28" s="17"/>
      <c r="T28" s="17"/>
    </row>
    <row r="29" spans="1:20 16384:16384" s="51" customFormat="1">
      <c r="B29" s="51" t="s">
        <v>39</v>
      </c>
      <c r="C29" s="48"/>
      <c r="D29" s="48"/>
      <c r="E29" s="48"/>
      <c r="F29" s="48"/>
      <c r="G29" s="48"/>
      <c r="H29" s="48">
        <v>136842</v>
      </c>
      <c r="I29" s="48">
        <v>200073</v>
      </c>
      <c r="J29" s="48">
        <v>200074</v>
      </c>
      <c r="K29" s="48">
        <v>200073</v>
      </c>
      <c r="L29" s="48">
        <f>134083+65991</f>
        <v>200074</v>
      </c>
      <c r="M29" s="48">
        <f>127798+72276</f>
        <v>200074</v>
      </c>
      <c r="N29" s="48">
        <f>65706+134368</f>
        <v>200074</v>
      </c>
      <c r="O29" s="49">
        <f t="shared" ref="O29:O35" si="3">SUM(C29:N29)</f>
        <v>1337284</v>
      </c>
      <c r="P29" s="48"/>
      <c r="Q29" s="48"/>
      <c r="R29" s="48"/>
      <c r="S29" s="48"/>
      <c r="T29" s="48"/>
    </row>
    <row r="30" spans="1:20 16384:16384" s="51" customFormat="1">
      <c r="B30" s="51" t="s">
        <v>40</v>
      </c>
      <c r="C30" s="52"/>
      <c r="D30" s="52"/>
      <c r="E30" s="52"/>
      <c r="F30" s="52"/>
      <c r="G30" s="53"/>
      <c r="H30" s="53"/>
      <c r="I30" s="53"/>
      <c r="J30" s="48" t="s">
        <v>44</v>
      </c>
      <c r="K30" s="52">
        <f>253400</f>
        <v>253400</v>
      </c>
      <c r="L30" s="52">
        <f>125591+118900+3992+1496-100000</f>
        <v>149979</v>
      </c>
      <c r="M30" s="52">
        <f>82857+128777+32568+6011-100000</f>
        <v>150213</v>
      </c>
      <c r="N30" s="52">
        <f>295854</f>
        <v>295854</v>
      </c>
      <c r="O30" s="49">
        <f t="shared" si="3"/>
        <v>849446</v>
      </c>
      <c r="P30" s="54"/>
      <c r="Q30" s="54"/>
      <c r="R30" s="54"/>
      <c r="S30" s="54"/>
      <c r="T30" s="54"/>
    </row>
    <row r="31" spans="1:20 16384:16384" s="51" customFormat="1">
      <c r="B31" s="51" t="s">
        <v>41</v>
      </c>
      <c r="C31" s="52"/>
      <c r="D31" s="52"/>
      <c r="E31" s="52"/>
      <c r="F31" s="52"/>
      <c r="G31" s="52">
        <v>333863</v>
      </c>
      <c r="H31" s="52">
        <v>418680</v>
      </c>
      <c r="I31" s="52">
        <v>142992</v>
      </c>
      <c r="J31" s="52">
        <v>147430</v>
      </c>
      <c r="K31" s="52">
        <v>168909</v>
      </c>
      <c r="L31" s="52">
        <f>78964+47850</f>
        <v>126814</v>
      </c>
      <c r="M31" s="52">
        <f>53580+165507-113000</f>
        <v>106087</v>
      </c>
      <c r="N31" s="52">
        <f>49023+43500+47643+53787</f>
        <v>193953</v>
      </c>
      <c r="O31" s="49">
        <f t="shared" si="3"/>
        <v>1638728</v>
      </c>
      <c r="P31" s="54"/>
      <c r="Q31" s="54"/>
      <c r="R31" s="54"/>
      <c r="S31" s="54"/>
      <c r="T31" s="54"/>
    </row>
    <row r="32" spans="1:20 16384:16384" s="51" customFormat="1">
      <c r="B32" s="51" t="s">
        <v>42</v>
      </c>
      <c r="C32" s="52"/>
      <c r="D32" s="52"/>
      <c r="E32" s="52"/>
      <c r="F32" s="52"/>
      <c r="G32" s="52"/>
      <c r="H32" s="52"/>
      <c r="I32" s="52"/>
      <c r="J32" s="52"/>
      <c r="K32" s="52">
        <v>1144</v>
      </c>
      <c r="L32" s="52">
        <f>1048+192+2869</f>
        <v>4109</v>
      </c>
      <c r="M32" s="52">
        <f>3090+2861</f>
        <v>5951</v>
      </c>
      <c r="N32" s="52">
        <f>3099+2860+3099</f>
        <v>9058</v>
      </c>
      <c r="O32" s="49">
        <f t="shared" si="3"/>
        <v>20262</v>
      </c>
      <c r="P32" s="54"/>
      <c r="Q32" s="54"/>
      <c r="R32" s="54"/>
      <c r="S32" s="54"/>
      <c r="T32" s="54"/>
    </row>
    <row r="33" spans="1:20">
      <c r="B33" t="s">
        <v>43</v>
      </c>
      <c r="L33" s="28">
        <f>40000</f>
        <v>40000</v>
      </c>
      <c r="M33" s="28">
        <f>60000+20000-3573-15000-10000+8700</f>
        <v>60127</v>
      </c>
      <c r="N33" s="28">
        <f>168000+150000</f>
        <v>318000</v>
      </c>
      <c r="O33" s="13">
        <f t="shared" si="3"/>
        <v>418127</v>
      </c>
    </row>
    <row r="34" spans="1:20">
      <c r="B34" t="s">
        <v>45</v>
      </c>
      <c r="M34" s="28">
        <f>1046</f>
        <v>1046</v>
      </c>
      <c r="O34" s="13"/>
    </row>
    <row r="35" spans="1:20" s="47" customFormat="1" ht="17.45" customHeight="1">
      <c r="B35" s="47" t="s">
        <v>29</v>
      </c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>
        <f>12384</f>
        <v>12384</v>
      </c>
      <c r="N35" s="48">
        <v>12000</v>
      </c>
      <c r="O35" s="49">
        <f t="shared" si="3"/>
        <v>24384</v>
      </c>
      <c r="P35" s="50"/>
      <c r="Q35" s="50"/>
      <c r="R35" s="50"/>
      <c r="S35" s="50"/>
      <c r="T35" s="50"/>
    </row>
    <row r="36" spans="1:20" s="12" customFormat="1" ht="12.95" customHeight="1">
      <c r="A36" s="40"/>
      <c r="B36" s="12" t="s">
        <v>20</v>
      </c>
      <c r="C36" s="13">
        <f>SUM(C29:C35)</f>
        <v>0</v>
      </c>
      <c r="D36" s="13">
        <f t="shared" ref="D36:N36" si="4">SUM(D29:D35)</f>
        <v>0</v>
      </c>
      <c r="E36" s="13">
        <f t="shared" si="4"/>
        <v>0</v>
      </c>
      <c r="F36" s="13">
        <f t="shared" si="4"/>
        <v>0</v>
      </c>
      <c r="G36" s="13">
        <f t="shared" si="4"/>
        <v>333863</v>
      </c>
      <c r="H36" s="13">
        <f t="shared" si="4"/>
        <v>555522</v>
      </c>
      <c r="I36" s="13">
        <f t="shared" si="4"/>
        <v>343065</v>
      </c>
      <c r="J36" s="13">
        <f t="shared" si="4"/>
        <v>347504</v>
      </c>
      <c r="K36" s="13">
        <f t="shared" si="4"/>
        <v>623526</v>
      </c>
      <c r="L36" s="13">
        <f t="shared" si="4"/>
        <v>520976</v>
      </c>
      <c r="M36" s="13">
        <f t="shared" si="4"/>
        <v>535882</v>
      </c>
      <c r="N36" s="13">
        <f t="shared" si="4"/>
        <v>1028939</v>
      </c>
      <c r="O36" s="13">
        <f>SUM(C36:N36)</f>
        <v>4289277</v>
      </c>
      <c r="P36" s="29"/>
      <c r="Q36" s="29"/>
      <c r="R36" s="29"/>
      <c r="S36" s="29"/>
      <c r="T36" s="29"/>
    </row>
    <row r="37" spans="1:20">
      <c r="L37" s="28">
        <f>L36-L17</f>
        <v>263836</v>
      </c>
      <c r="M37" s="28">
        <f>M36-M17</f>
        <v>328804</v>
      </c>
      <c r="N37" s="28">
        <f>N36-N17</f>
        <v>738743</v>
      </c>
      <c r="O37" s="28">
        <f>O36/8</f>
        <v>536159.625</v>
      </c>
    </row>
    <row r="38" spans="1:20">
      <c r="L38" s="28">
        <f>L37-L21</f>
        <v>971</v>
      </c>
    </row>
    <row r="39" spans="1:20">
      <c r="G39" s="28">
        <f>SUM(G29:G32,G35)</f>
        <v>333863</v>
      </c>
      <c r="H39" s="28">
        <f>SUM(H29:H32,H35)</f>
        <v>555522</v>
      </c>
      <c r="I39" s="28">
        <f t="shared" ref="I39:N39" si="5">SUM(I29:I34,I35)</f>
        <v>343065</v>
      </c>
      <c r="J39" s="28">
        <f t="shared" si="5"/>
        <v>347504</v>
      </c>
      <c r="K39" s="28">
        <f t="shared" si="5"/>
        <v>623526</v>
      </c>
      <c r="L39" s="28">
        <f t="shared" si="5"/>
        <v>520976</v>
      </c>
      <c r="M39" s="28">
        <f t="shared" si="5"/>
        <v>535882</v>
      </c>
      <c r="N39" s="28">
        <f t="shared" si="5"/>
        <v>1028939</v>
      </c>
      <c r="O39" s="28">
        <f>SUM(G39:N39)</f>
        <v>4289277</v>
      </c>
    </row>
    <row r="40" spans="1:20">
      <c r="O40" s="28">
        <f>O39+900000</f>
        <v>5189277</v>
      </c>
    </row>
    <row r="41" spans="1:20">
      <c r="O41" s="28">
        <f>O40+513000</f>
        <v>5702277</v>
      </c>
    </row>
    <row r="42" spans="1:20">
      <c r="O42" s="28">
        <f>O41*1.13</f>
        <v>6443573.0099999998</v>
      </c>
    </row>
    <row r="43" spans="1:20">
      <c r="L43" s="28">
        <f>L29+L30+L31</f>
        <v>476867</v>
      </c>
    </row>
    <row r="44" spans="1:20">
      <c r="L44" s="28">
        <f>L43*1.13</f>
        <v>538859.71</v>
      </c>
    </row>
    <row r="45" spans="1:20">
      <c r="L45" s="28">
        <f>5000000/L44</f>
        <v>9.2788529318697819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B2:G13"/>
  <sheetViews>
    <sheetView workbookViewId="0">
      <selection activeCell="G12" sqref="G12"/>
    </sheetView>
  </sheetViews>
  <sheetFormatPr defaultRowHeight="15"/>
  <cols>
    <col min="6" max="6" width="11.140625" bestFit="1" customWidth="1"/>
    <col min="7" max="7" width="9.7109375" bestFit="1" customWidth="1"/>
  </cols>
  <sheetData>
    <row r="2" spans="2:7">
      <c r="B2" t="s">
        <v>78</v>
      </c>
    </row>
    <row r="3" spans="2:7">
      <c r="B3" t="s">
        <v>79</v>
      </c>
    </row>
    <row r="4" spans="2:7">
      <c r="B4" t="s">
        <v>80</v>
      </c>
    </row>
    <row r="5" spans="2:7">
      <c r="B5" t="s">
        <v>81</v>
      </c>
    </row>
    <row r="6" spans="2:7">
      <c r="B6" t="s">
        <v>86</v>
      </c>
    </row>
    <row r="7" spans="2:7">
      <c r="B7" t="s">
        <v>82</v>
      </c>
    </row>
    <row r="9" spans="2:7">
      <c r="F9" s="107"/>
    </row>
    <row r="10" spans="2:7">
      <c r="F10" s="107"/>
    </row>
    <row r="11" spans="2:7">
      <c r="E11" s="103"/>
    </row>
    <row r="12" spans="2:7">
      <c r="E12" s="103"/>
      <c r="F12" s="107"/>
      <c r="G12" s="107"/>
    </row>
    <row r="13" spans="2:7">
      <c r="E13" s="103"/>
      <c r="F13" s="107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2"/>
  <sheetViews>
    <sheetView tabSelected="1" workbookViewId="0">
      <selection activeCell="G9" sqref="G9"/>
    </sheetView>
  </sheetViews>
  <sheetFormatPr defaultRowHeight="15"/>
  <cols>
    <col min="2" max="2" width="27" customWidth="1"/>
    <col min="3" max="3" width="38.140625" customWidth="1"/>
    <col min="4" max="4" width="11.5703125" customWidth="1"/>
  </cols>
  <sheetData>
    <row r="2" spans="2:9">
      <c r="C2" s="104"/>
      <c r="D2" s="104">
        <v>46023</v>
      </c>
    </row>
    <row r="3" spans="2:9">
      <c r="B3" t="s">
        <v>87</v>
      </c>
      <c r="C3" t="s">
        <v>89</v>
      </c>
      <c r="E3">
        <v>120000</v>
      </c>
    </row>
    <row r="4" spans="2:9" ht="30">
      <c r="B4" s="106" t="s">
        <v>91</v>
      </c>
      <c r="C4" s="105" t="s">
        <v>90</v>
      </c>
      <c r="E4">
        <v>264800</v>
      </c>
    </row>
    <row r="5" spans="2:9">
      <c r="B5" s="106" t="s">
        <v>92</v>
      </c>
      <c r="C5" s="105"/>
      <c r="E5">
        <v>0</v>
      </c>
    </row>
    <row r="6" spans="2:9">
      <c r="B6" t="s">
        <v>88</v>
      </c>
      <c r="E6">
        <v>354000</v>
      </c>
    </row>
    <row r="7" spans="2:9">
      <c r="I7">
        <f>380000-354000</f>
        <v>26000</v>
      </c>
    </row>
    <row r="9" spans="2:9">
      <c r="E9">
        <f>SUM(E3:E6)</f>
        <v>738800</v>
      </c>
      <c r="G9">
        <f>E9-F10-F11-F12</f>
        <v>29800</v>
      </c>
    </row>
    <row r="10" spans="2:9">
      <c r="B10" t="s">
        <v>94</v>
      </c>
      <c r="F10">
        <v>250000</v>
      </c>
    </row>
    <row r="11" spans="2:9">
      <c r="B11" t="s">
        <v>95</v>
      </c>
      <c r="F11">
        <v>380000</v>
      </c>
      <c r="H11">
        <f>F11-E3</f>
        <v>260000</v>
      </c>
    </row>
    <row r="12" spans="2:9">
      <c r="B12" t="s">
        <v>96</v>
      </c>
      <c r="F12">
        <v>79000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2026</vt:lpstr>
      <vt:lpstr>2025</vt:lpstr>
      <vt:lpstr>2024</vt:lpstr>
      <vt:lpstr>План КиА</vt:lpstr>
      <vt:lpstr>Распределение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2026-06-06T16:58:19Z</dcterms:modified>
</cp:coreProperties>
</file>